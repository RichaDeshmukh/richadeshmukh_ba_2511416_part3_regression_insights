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icha\BITSOM\Assignments'\Assignment 6\Part 3\richadeshmukh_ba_2511416_part3_regression_insights\analysis\"/>
    </mc:Choice>
  </mc:AlternateContent>
  <xr:revisionPtr revIDLastSave="0" documentId="13_ncr:1_{CE1081FF-7E70-4594-9066-4CCE590179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_Data" sheetId="1" r:id="rId1"/>
    <sheet name="Cleaned_Data" sheetId="2" r:id="rId2"/>
    <sheet name="Regression_Data" sheetId="11" r:id="rId3"/>
    <sheet name="Dummy_Variables" sheetId="3" r:id="rId4"/>
    <sheet name="Simple_Regression_1" sheetId="4" r:id="rId5"/>
    <sheet name="Simple_Regression_2" sheetId="5" r:id="rId6"/>
    <sheet name="Multiple_Regression" sheetId="6" r:id="rId7"/>
    <sheet name="Prediction_Residuals" sheetId="7" r:id="rId8"/>
    <sheet name="Model_Comparison" sheetId="8" r:id="rId9"/>
    <sheet name="Sheet1" sheetId="9" r:id="rId10"/>
    <sheet name="Sheet2" sheetId="10" r:id="rId11"/>
    <sheet name="Sheet4" sheetId="12" r:id="rId12"/>
    <sheet name="Sheet5" sheetId="13" r:id="rId13"/>
    <sheet name="Sheet7" sheetId="15" r:id="rId14"/>
  </sheets>
  <definedNames>
    <definedName name="_xlnm._FilterDatabase" localSheetId="1" hidden="1">Cleaned_Data!$A$1:$N$321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1" i="7" l="1"/>
  <c r="L86" i="7"/>
  <c r="L285" i="7"/>
  <c r="L13" i="7"/>
  <c r="K294" i="7"/>
  <c r="L294" i="7" s="1"/>
  <c r="K307" i="7"/>
  <c r="L307" i="7" s="1"/>
  <c r="K314" i="7"/>
  <c r="L314" i="7" s="1"/>
  <c r="K282" i="7"/>
  <c r="L282" i="7" s="1"/>
  <c r="K222" i="7"/>
  <c r="L222" i="7" s="1"/>
  <c r="K106" i="7"/>
  <c r="L106" i="7" s="1"/>
  <c r="K15" i="7"/>
  <c r="L15" i="7" s="1"/>
  <c r="K8" i="7"/>
  <c r="L8" i="7" s="1"/>
  <c r="K176" i="7"/>
  <c r="L176" i="7" s="1"/>
  <c r="K217" i="7"/>
  <c r="L217" i="7" s="1"/>
  <c r="K24" i="7"/>
  <c r="L24" i="7" s="1"/>
  <c r="K64" i="7"/>
  <c r="L64" i="7" s="1"/>
  <c r="K290" i="7"/>
  <c r="L290" i="7" s="1"/>
  <c r="K203" i="7"/>
  <c r="L203" i="7" s="1"/>
  <c r="K97" i="7"/>
  <c r="L97" i="7" s="1"/>
  <c r="K251" i="7"/>
  <c r="L251" i="7" s="1"/>
  <c r="K265" i="7"/>
  <c r="L265" i="7" s="1"/>
  <c r="K262" i="7"/>
  <c r="L262" i="7" s="1"/>
  <c r="K240" i="7"/>
  <c r="L240" i="7" s="1"/>
  <c r="K316" i="7"/>
  <c r="L316" i="7" s="1"/>
  <c r="K228" i="7"/>
  <c r="L228" i="7" s="1"/>
  <c r="K124" i="7"/>
  <c r="L124" i="7" s="1"/>
  <c r="K167" i="7"/>
  <c r="L167" i="7" s="1"/>
  <c r="K214" i="7"/>
  <c r="L214" i="7" s="1"/>
  <c r="K315" i="7"/>
  <c r="L315" i="7" s="1"/>
  <c r="K182" i="7"/>
  <c r="L182" i="7" s="1"/>
  <c r="K132" i="7"/>
  <c r="L132" i="7" s="1"/>
  <c r="K306" i="7"/>
  <c r="L306" i="7" s="1"/>
  <c r="K131" i="7"/>
  <c r="L131" i="7" s="1"/>
  <c r="K202" i="7"/>
  <c r="L202" i="7" s="1"/>
  <c r="K305" i="7"/>
  <c r="L305" i="7" s="1"/>
  <c r="K318" i="7"/>
  <c r="L318" i="7" s="1"/>
  <c r="K295" i="7"/>
  <c r="L295" i="7" s="1"/>
  <c r="K175" i="7"/>
  <c r="L175" i="7" s="1"/>
  <c r="K258" i="7"/>
  <c r="L258" i="7" s="1"/>
  <c r="K38" i="7"/>
  <c r="L38" i="7" s="1"/>
  <c r="K257" i="7"/>
  <c r="L257" i="7" s="1"/>
  <c r="K174" i="7"/>
  <c r="L174" i="7" s="1"/>
  <c r="K137" i="7"/>
  <c r="L137" i="7" s="1"/>
  <c r="K122" i="7"/>
  <c r="L122" i="7" s="1"/>
  <c r="K96" i="7"/>
  <c r="L96" i="7" s="1"/>
  <c r="K11" i="7"/>
  <c r="L11" i="7" s="1"/>
  <c r="K90" i="7"/>
  <c r="L90" i="7" s="1"/>
  <c r="K320" i="7"/>
  <c r="L320" i="7" s="1"/>
  <c r="K281" i="7"/>
  <c r="L281" i="7" s="1"/>
  <c r="K79" i="7"/>
  <c r="L79" i="7" s="1"/>
  <c r="K138" i="7"/>
  <c r="L138" i="7" s="1"/>
  <c r="K249" i="7"/>
  <c r="L249" i="7" s="1"/>
  <c r="K136" i="7"/>
  <c r="L136" i="7" s="1"/>
  <c r="K93" i="7"/>
  <c r="L93" i="7" s="1"/>
  <c r="K61" i="7"/>
  <c r="L61" i="7" s="1"/>
  <c r="K313" i="7"/>
  <c r="L313" i="7" s="1"/>
  <c r="K95" i="7"/>
  <c r="L95" i="7" s="1"/>
  <c r="K69" i="7"/>
  <c r="L69" i="7" s="1"/>
  <c r="K275" i="7"/>
  <c r="L275" i="7" s="1"/>
  <c r="K94" i="7"/>
  <c r="L94" i="7" s="1"/>
  <c r="K152" i="7"/>
  <c r="L152" i="7" s="1"/>
  <c r="K248" i="7"/>
  <c r="L248" i="7" s="1"/>
  <c r="K252" i="7"/>
  <c r="L252" i="7" s="1"/>
  <c r="K33" i="7"/>
  <c r="L33" i="7" s="1"/>
  <c r="K51" i="7"/>
  <c r="L51" i="7" s="1"/>
  <c r="K211" i="7"/>
  <c r="L211" i="7" s="1"/>
  <c r="K54" i="7"/>
  <c r="L54" i="7" s="1"/>
  <c r="K231" i="7"/>
  <c r="K229" i="7"/>
  <c r="L229" i="7" s="1"/>
  <c r="K321" i="7"/>
  <c r="L321" i="7" s="1"/>
  <c r="K139" i="7"/>
  <c r="L139" i="7" s="1"/>
  <c r="K12" i="7"/>
  <c r="L12" i="7" s="1"/>
  <c r="K213" i="7"/>
  <c r="L213" i="7" s="1"/>
  <c r="K91" i="7"/>
  <c r="L91" i="7" s="1"/>
  <c r="K41" i="7"/>
  <c r="L41" i="7" s="1"/>
  <c r="K153" i="7"/>
  <c r="L153" i="7" s="1"/>
  <c r="K302" i="7"/>
  <c r="L302" i="7" s="1"/>
  <c r="K18" i="7"/>
  <c r="L18" i="7" s="1"/>
  <c r="K278" i="7"/>
  <c r="L278" i="7" s="1"/>
  <c r="K208" i="7"/>
  <c r="L208" i="7" s="1"/>
  <c r="K58" i="7"/>
  <c r="L58" i="7" s="1"/>
  <c r="K47" i="7"/>
  <c r="L47" i="7" s="1"/>
  <c r="K260" i="7"/>
  <c r="L260" i="7" s="1"/>
  <c r="K242" i="7"/>
  <c r="L242" i="7" s="1"/>
  <c r="K40" i="7"/>
  <c r="L40" i="7" s="1"/>
  <c r="K10" i="7"/>
  <c r="L10" i="7" s="1"/>
  <c r="K104" i="7"/>
  <c r="L104" i="7" s="1"/>
  <c r="K147" i="7"/>
  <c r="L147" i="7" s="1"/>
  <c r="K264" i="7"/>
  <c r="L264" i="7" s="1"/>
  <c r="K192" i="7"/>
  <c r="L192" i="7" s="1"/>
  <c r="K206" i="7"/>
  <c r="L206" i="7" s="1"/>
  <c r="K73" i="7"/>
  <c r="L73" i="7" s="1"/>
  <c r="K319" i="7"/>
  <c r="L319" i="7" s="1"/>
  <c r="K109" i="7"/>
  <c r="L109" i="7" s="1"/>
  <c r="K80" i="7"/>
  <c r="L80" i="7" s="1"/>
  <c r="K241" i="7"/>
  <c r="L241" i="7" s="1"/>
  <c r="K55" i="7"/>
  <c r="L55" i="7" s="1"/>
  <c r="K45" i="7"/>
  <c r="L45" i="7" s="1"/>
  <c r="K246" i="7"/>
  <c r="L246" i="7" s="1"/>
  <c r="K191" i="7"/>
  <c r="L191" i="7" s="1"/>
  <c r="K20" i="7"/>
  <c r="L20" i="7" s="1"/>
  <c r="K171" i="7"/>
  <c r="L171" i="7" s="1"/>
  <c r="K98" i="7"/>
  <c r="L98" i="7" s="1"/>
  <c r="K37" i="7"/>
  <c r="L37" i="7" s="1"/>
  <c r="K256" i="7"/>
  <c r="L256" i="7" s="1"/>
  <c r="K65" i="7"/>
  <c r="L65" i="7" s="1"/>
  <c r="K3" i="7"/>
  <c r="L3" i="7" s="1"/>
  <c r="K62" i="7"/>
  <c r="L62" i="7" s="1"/>
  <c r="K154" i="7"/>
  <c r="L154" i="7" s="1"/>
  <c r="K14" i="7"/>
  <c r="L14" i="7" s="1"/>
  <c r="K151" i="7"/>
  <c r="L151" i="7" s="1"/>
  <c r="K46" i="7"/>
  <c r="L46" i="7" s="1"/>
  <c r="K92" i="7"/>
  <c r="L92" i="7" s="1"/>
  <c r="K187" i="7"/>
  <c r="L187" i="7" s="1"/>
  <c r="K2" i="7"/>
  <c r="L2" i="7" s="1"/>
  <c r="K42" i="7"/>
  <c r="L42" i="7" s="1"/>
  <c r="K49" i="7"/>
  <c r="L49" i="7" s="1"/>
  <c r="K272" i="7"/>
  <c r="L272" i="7" s="1"/>
  <c r="K247" i="7"/>
  <c r="L247" i="7" s="1"/>
  <c r="K216" i="7"/>
  <c r="L216" i="7" s="1"/>
  <c r="K21" i="7"/>
  <c r="L21" i="7" s="1"/>
  <c r="K309" i="7"/>
  <c r="L309" i="7" s="1"/>
  <c r="K234" i="7"/>
  <c r="L234" i="7" s="1"/>
  <c r="K286" i="7"/>
  <c r="L286" i="7" s="1"/>
  <c r="K60" i="7"/>
  <c r="L60" i="7" s="1"/>
  <c r="K255" i="7"/>
  <c r="L255" i="7" s="1"/>
  <c r="K300" i="7"/>
  <c r="L300" i="7" s="1"/>
  <c r="K16" i="7"/>
  <c r="L16" i="7" s="1"/>
  <c r="K235" i="7"/>
  <c r="L235" i="7" s="1"/>
  <c r="K68" i="7"/>
  <c r="L68" i="7" s="1"/>
  <c r="K221" i="7"/>
  <c r="L221" i="7" s="1"/>
  <c r="K86" i="7"/>
  <c r="K155" i="7"/>
  <c r="L155" i="7" s="1"/>
  <c r="K296" i="7"/>
  <c r="L296" i="7" s="1"/>
  <c r="K204" i="7"/>
  <c r="L204" i="7" s="1"/>
  <c r="K288" i="7"/>
  <c r="L288" i="7" s="1"/>
  <c r="K289" i="7"/>
  <c r="L289" i="7" s="1"/>
  <c r="K181" i="7"/>
  <c r="L181" i="7" s="1"/>
  <c r="K233" i="7"/>
  <c r="L233" i="7" s="1"/>
  <c r="K311" i="7"/>
  <c r="L311" i="7" s="1"/>
  <c r="K102" i="7"/>
  <c r="L102" i="7" s="1"/>
  <c r="K39" i="7"/>
  <c r="L39" i="7" s="1"/>
  <c r="K143" i="7"/>
  <c r="L143" i="7" s="1"/>
  <c r="K70" i="7"/>
  <c r="L70" i="7" s="1"/>
  <c r="K116" i="7"/>
  <c r="L116" i="7" s="1"/>
  <c r="K53" i="7"/>
  <c r="L53" i="7" s="1"/>
  <c r="K120" i="7"/>
  <c r="L120" i="7" s="1"/>
  <c r="K266" i="7"/>
  <c r="L266" i="7" s="1"/>
  <c r="K253" i="7"/>
  <c r="L253" i="7" s="1"/>
  <c r="K166" i="7"/>
  <c r="L166" i="7" s="1"/>
  <c r="K158" i="7"/>
  <c r="L158" i="7" s="1"/>
  <c r="K245" i="7"/>
  <c r="L245" i="7" s="1"/>
  <c r="K146" i="7"/>
  <c r="L146" i="7" s="1"/>
  <c r="K75" i="7"/>
  <c r="L75" i="7" s="1"/>
  <c r="K105" i="7"/>
  <c r="L105" i="7" s="1"/>
  <c r="K218" i="7"/>
  <c r="L218" i="7" s="1"/>
  <c r="K126" i="7"/>
  <c r="L126" i="7" s="1"/>
  <c r="K270" i="7"/>
  <c r="L270" i="7" s="1"/>
  <c r="K156" i="7"/>
  <c r="L156" i="7" s="1"/>
  <c r="K160" i="7"/>
  <c r="L160" i="7" s="1"/>
  <c r="K220" i="7"/>
  <c r="L220" i="7" s="1"/>
  <c r="K17" i="7"/>
  <c r="L17" i="7" s="1"/>
  <c r="K27" i="7"/>
  <c r="L27" i="7" s="1"/>
  <c r="K292" i="7"/>
  <c r="L292" i="7" s="1"/>
  <c r="K22" i="7"/>
  <c r="L22" i="7" s="1"/>
  <c r="K236" i="7"/>
  <c r="L236" i="7" s="1"/>
  <c r="K215" i="7"/>
  <c r="L215" i="7" s="1"/>
  <c r="K48" i="7"/>
  <c r="L48" i="7" s="1"/>
  <c r="K223" i="7"/>
  <c r="L223" i="7" s="1"/>
  <c r="K159" i="7"/>
  <c r="L159" i="7" s="1"/>
  <c r="K128" i="7"/>
  <c r="L128" i="7" s="1"/>
  <c r="K271" i="7"/>
  <c r="L271" i="7" s="1"/>
  <c r="K308" i="7"/>
  <c r="L308" i="7" s="1"/>
  <c r="K84" i="7"/>
  <c r="L84" i="7" s="1"/>
  <c r="K209" i="7"/>
  <c r="L209" i="7" s="1"/>
  <c r="K121" i="7"/>
  <c r="L121" i="7" s="1"/>
  <c r="K239" i="7"/>
  <c r="L239" i="7" s="1"/>
  <c r="K226" i="7"/>
  <c r="L226" i="7" s="1"/>
  <c r="K200" i="7"/>
  <c r="L200" i="7" s="1"/>
  <c r="K83" i="7"/>
  <c r="L83" i="7" s="1"/>
  <c r="K19" i="7"/>
  <c r="L19" i="7" s="1"/>
  <c r="K63" i="7"/>
  <c r="L63" i="7" s="1"/>
  <c r="K28" i="7"/>
  <c r="L28" i="7" s="1"/>
  <c r="K169" i="7"/>
  <c r="L169" i="7" s="1"/>
  <c r="K173" i="7"/>
  <c r="L173" i="7" s="1"/>
  <c r="K195" i="7"/>
  <c r="L195" i="7" s="1"/>
  <c r="K186" i="7"/>
  <c r="L186" i="7" s="1"/>
  <c r="K225" i="7"/>
  <c r="L225" i="7" s="1"/>
  <c r="K111" i="7"/>
  <c r="L111" i="7" s="1"/>
  <c r="K29" i="7"/>
  <c r="L29" i="7" s="1"/>
  <c r="K148" i="7"/>
  <c r="L148" i="7" s="1"/>
  <c r="K50" i="7"/>
  <c r="L50" i="7" s="1"/>
  <c r="K103" i="7"/>
  <c r="L103" i="7" s="1"/>
  <c r="K199" i="7"/>
  <c r="L199" i="7" s="1"/>
  <c r="K280" i="7"/>
  <c r="L280" i="7" s="1"/>
  <c r="K285" i="7"/>
  <c r="K207" i="7"/>
  <c r="L207" i="7" s="1"/>
  <c r="K179" i="7"/>
  <c r="L179" i="7" s="1"/>
  <c r="K312" i="7"/>
  <c r="L312" i="7" s="1"/>
  <c r="K56" i="7"/>
  <c r="L56" i="7" s="1"/>
  <c r="K273" i="7"/>
  <c r="L273" i="7" s="1"/>
  <c r="K274" i="7"/>
  <c r="L274" i="7" s="1"/>
  <c r="K23" i="7"/>
  <c r="L23" i="7" s="1"/>
  <c r="K168" i="7"/>
  <c r="L168" i="7" s="1"/>
  <c r="K4" i="7"/>
  <c r="L4" i="7" s="1"/>
  <c r="K267" i="7"/>
  <c r="L267" i="7" s="1"/>
  <c r="K201" i="7"/>
  <c r="L201" i="7" s="1"/>
  <c r="K161" i="7"/>
  <c r="L161" i="7" s="1"/>
  <c r="K25" i="7"/>
  <c r="L25" i="7" s="1"/>
  <c r="K283" i="7"/>
  <c r="L283" i="7" s="1"/>
  <c r="K297" i="7"/>
  <c r="L297" i="7" s="1"/>
  <c r="K113" i="7"/>
  <c r="L113" i="7" s="1"/>
  <c r="K301" i="7"/>
  <c r="L301" i="7" s="1"/>
  <c r="K183" i="7"/>
  <c r="L183" i="7" s="1"/>
  <c r="K178" i="7"/>
  <c r="L178" i="7" s="1"/>
  <c r="K88" i="7"/>
  <c r="L88" i="7" s="1"/>
  <c r="K81" i="7"/>
  <c r="L81" i="7" s="1"/>
  <c r="K232" i="7"/>
  <c r="L232" i="7" s="1"/>
  <c r="K190" i="7"/>
  <c r="L190" i="7" s="1"/>
  <c r="K52" i="7"/>
  <c r="L52" i="7" s="1"/>
  <c r="K140" i="7"/>
  <c r="L140" i="7" s="1"/>
  <c r="K34" i="7"/>
  <c r="L34" i="7" s="1"/>
  <c r="K107" i="7"/>
  <c r="L107" i="7" s="1"/>
  <c r="K118" i="7"/>
  <c r="L118" i="7" s="1"/>
  <c r="K134" i="7"/>
  <c r="L134" i="7" s="1"/>
  <c r="K142" i="7"/>
  <c r="L142" i="7" s="1"/>
  <c r="K243" i="7"/>
  <c r="L243" i="7" s="1"/>
  <c r="K44" i="7"/>
  <c r="L44" i="7" s="1"/>
  <c r="K89" i="7"/>
  <c r="L89" i="7" s="1"/>
  <c r="K205" i="7"/>
  <c r="L205" i="7" s="1"/>
  <c r="K66" i="7"/>
  <c r="L66" i="7" s="1"/>
  <c r="K279" i="7"/>
  <c r="L279" i="7" s="1"/>
  <c r="K35" i="7"/>
  <c r="L35" i="7" s="1"/>
  <c r="K259" i="7"/>
  <c r="L259" i="7" s="1"/>
  <c r="K74" i="7"/>
  <c r="L74" i="7" s="1"/>
  <c r="K71" i="7"/>
  <c r="L71" i="7" s="1"/>
  <c r="K26" i="7"/>
  <c r="L26" i="7" s="1"/>
  <c r="K164" i="7"/>
  <c r="L164" i="7" s="1"/>
  <c r="K177" i="7"/>
  <c r="L177" i="7" s="1"/>
  <c r="K303" i="7"/>
  <c r="L303" i="7" s="1"/>
  <c r="K196" i="7"/>
  <c r="L196" i="7" s="1"/>
  <c r="K172" i="7"/>
  <c r="L172" i="7" s="1"/>
  <c r="K130" i="7"/>
  <c r="L130" i="7" s="1"/>
  <c r="K67" i="7"/>
  <c r="L67" i="7" s="1"/>
  <c r="K77" i="7"/>
  <c r="L77" i="7" s="1"/>
  <c r="K123" i="7"/>
  <c r="L123" i="7" s="1"/>
  <c r="K117" i="7"/>
  <c r="L117" i="7" s="1"/>
  <c r="K82" i="7"/>
  <c r="L82" i="7" s="1"/>
  <c r="K108" i="7"/>
  <c r="L108" i="7" s="1"/>
  <c r="K227" i="7"/>
  <c r="L227" i="7" s="1"/>
  <c r="K157" i="7"/>
  <c r="L157" i="7" s="1"/>
  <c r="K114" i="7"/>
  <c r="L114" i="7" s="1"/>
  <c r="K180" i="7"/>
  <c r="L180" i="7" s="1"/>
  <c r="K163" i="7"/>
  <c r="L163" i="7" s="1"/>
  <c r="K110" i="7"/>
  <c r="L110" i="7" s="1"/>
  <c r="K141" i="7"/>
  <c r="L141" i="7" s="1"/>
  <c r="K6" i="7"/>
  <c r="L6" i="7" s="1"/>
  <c r="K57" i="7"/>
  <c r="L57" i="7" s="1"/>
  <c r="K254" i="7"/>
  <c r="L254" i="7" s="1"/>
  <c r="K13" i="7"/>
  <c r="K127" i="7"/>
  <c r="L127" i="7" s="1"/>
  <c r="K165" i="7"/>
  <c r="L165" i="7" s="1"/>
  <c r="K36" i="7"/>
  <c r="L36" i="7" s="1"/>
  <c r="K150" i="7"/>
  <c r="L150" i="7" s="1"/>
  <c r="K170" i="7"/>
  <c r="L170" i="7" s="1"/>
  <c r="K30" i="7"/>
  <c r="L30" i="7" s="1"/>
  <c r="K100" i="7"/>
  <c r="L100" i="7" s="1"/>
  <c r="K184" i="7"/>
  <c r="L184" i="7" s="1"/>
  <c r="K72" i="7"/>
  <c r="L72" i="7" s="1"/>
  <c r="K78" i="7"/>
  <c r="L78" i="7" s="1"/>
  <c r="K43" i="7"/>
  <c r="L43" i="7" s="1"/>
  <c r="K298" i="7"/>
  <c r="L298" i="7" s="1"/>
  <c r="K31" i="7"/>
  <c r="L31" i="7" s="1"/>
  <c r="K149" i="7"/>
  <c r="L149" i="7" s="1"/>
  <c r="K293" i="7"/>
  <c r="L293" i="7" s="1"/>
  <c r="K135" i="7"/>
  <c r="L135" i="7" s="1"/>
  <c r="K59" i="7"/>
  <c r="L59" i="7" s="1"/>
  <c r="K189" i="7"/>
  <c r="L189" i="7" s="1"/>
  <c r="K7" i="7"/>
  <c r="L7" i="7" s="1"/>
  <c r="K310" i="7"/>
  <c r="L310" i="7" s="1"/>
  <c r="K101" i="7"/>
  <c r="L101" i="7" s="1"/>
  <c r="K210" i="7"/>
  <c r="L210" i="7" s="1"/>
  <c r="K244" i="7"/>
  <c r="L244" i="7" s="1"/>
  <c r="K284" i="7"/>
  <c r="L284" i="7" s="1"/>
  <c r="K263" i="7"/>
  <c r="L263" i="7" s="1"/>
  <c r="K119" i="7"/>
  <c r="L119" i="7" s="1"/>
  <c r="K198" i="7"/>
  <c r="L198" i="7" s="1"/>
  <c r="K230" i="7"/>
  <c r="L230" i="7" s="1"/>
  <c r="K219" i="7"/>
  <c r="L219" i="7" s="1"/>
  <c r="K188" i="7"/>
  <c r="L188" i="7" s="1"/>
  <c r="K250" i="7"/>
  <c r="L250" i="7" s="1"/>
  <c r="K85" i="7"/>
  <c r="L85" i="7" s="1"/>
  <c r="K261" i="7"/>
  <c r="L261" i="7" s="1"/>
  <c r="K5" i="7"/>
  <c r="L5" i="7" s="1"/>
  <c r="K197" i="7"/>
  <c r="L197" i="7" s="1"/>
  <c r="K276" i="7"/>
  <c r="L276" i="7" s="1"/>
  <c r="K145" i="7"/>
  <c r="L145" i="7" s="1"/>
  <c r="K194" i="7"/>
  <c r="L194" i="7" s="1"/>
  <c r="K125" i="7"/>
  <c r="L125" i="7" s="1"/>
  <c r="K162" i="7"/>
  <c r="L162" i="7" s="1"/>
  <c r="K9" i="7"/>
  <c r="L9" i="7" s="1"/>
  <c r="K224" i="7"/>
  <c r="L224" i="7" s="1"/>
  <c r="K304" i="7"/>
  <c r="L304" i="7" s="1"/>
  <c r="K212" i="7"/>
  <c r="L212" i="7" s="1"/>
  <c r="K144" i="7"/>
  <c r="L144" i="7" s="1"/>
  <c r="K185" i="7"/>
  <c r="L185" i="7" s="1"/>
  <c r="K32" i="7"/>
  <c r="L32" i="7" s="1"/>
  <c r="K99" i="7"/>
  <c r="L99" i="7" s="1"/>
  <c r="K317" i="7"/>
  <c r="L317" i="7" s="1"/>
  <c r="K76" i="7"/>
  <c r="L76" i="7" s="1"/>
  <c r="K299" i="7"/>
  <c r="L299" i="7" s="1"/>
  <c r="K238" i="7"/>
  <c r="L238" i="7" s="1"/>
  <c r="K287" i="7"/>
  <c r="L287" i="7" s="1"/>
  <c r="K237" i="7"/>
  <c r="L237" i="7" s="1"/>
  <c r="K133" i="7"/>
  <c r="L133" i="7" s="1"/>
  <c r="K87" i="7"/>
  <c r="L87" i="7" s="1"/>
  <c r="K277" i="7"/>
  <c r="L277" i="7" s="1"/>
  <c r="K112" i="7"/>
  <c r="L112" i="7" s="1"/>
  <c r="K115" i="7"/>
  <c r="L115" i="7" s="1"/>
  <c r="K291" i="7"/>
  <c r="L291" i="7" s="1"/>
  <c r="K129" i="7"/>
  <c r="L129" i="7" s="1"/>
  <c r="K193" i="7"/>
  <c r="L193" i="7" s="1"/>
  <c r="K268" i="7"/>
  <c r="L268" i="7" s="1"/>
  <c r="K269" i="7"/>
  <c r="L269" i="7" s="1"/>
  <c r="P3" i="2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2" i="3"/>
  <c r="G2" i="3"/>
  <c r="F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D2" i="3"/>
  <c r="C2" i="3"/>
  <c r="B2" i="3"/>
</calcChain>
</file>

<file path=xl/sharedStrings.xml><?xml version="1.0" encoding="utf-8"?>
<sst xmlns="http://schemas.openxmlformats.org/spreadsheetml/2006/main" count="3439" uniqueCount="166">
  <si>
    <t>region</t>
  </si>
  <si>
    <t>Region_East</t>
  </si>
  <si>
    <t>Region_South</t>
  </si>
  <si>
    <t>Region_West</t>
  </si>
  <si>
    <t>store_type</t>
  </si>
  <si>
    <t>Actual_Sales</t>
  </si>
  <si>
    <t>Footfall</t>
  </si>
  <si>
    <t>Customer_Rating</t>
  </si>
  <si>
    <t>East</t>
  </si>
  <si>
    <t>South</t>
  </si>
  <si>
    <t>West</t>
  </si>
  <si>
    <t>Intercept</t>
  </si>
  <si>
    <t>Predicted_Sales</t>
  </si>
  <si>
    <t>Residual</t>
  </si>
  <si>
    <t>Model</t>
  </si>
  <si>
    <t>store_id</t>
  </si>
  <si>
    <t>month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</si>
  <si>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</si>
  <si>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</si>
  <si>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</si>
  <si>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</si>
  <si>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</si>
  <si>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</si>
  <si>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</si>
  <si>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</si>
  <si>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</si>
  <si>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</si>
  <si>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</si>
  <si>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</si>
  <si>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</si>
  <si>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</si>
  <si>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</si>
  <si>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</si>
  <si>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</si>
  <si>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</si>
  <si>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</si>
  <si>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STR-1006</t>
  </si>
  <si>
    <t>STR-1007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</si>
  <si>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</si>
  <si>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</si>
  <si>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</si>
  <si>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</si>
  <si>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</si>
  <si>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</si>
  <si>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</si>
  <si>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</si>
  <si>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</si>
  <si>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</si>
  <si>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</si>
  <si>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</si>
  <si>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</si>
  <si>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</si>
  <si>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</si>
  <si>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</si>
  <si>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</si>
  <si>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</si>
  <si>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</si>
  <si>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</si>
  <si>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</si>
  <si>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</si>
  <si>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</si>
  <si>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</si>
  <si>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</si>
  <si>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</si>
  <si>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</si>
  <si>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</si>
  <si>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</si>
  <si>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</si>
  <si>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</si>
  <si>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</si>
  <si>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</si>
  <si>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</si>
  <si>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</si>
  <si>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</si>
  <si>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</si>
  <si>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</si>
  <si>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</si>
  <si>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</si>
  <si>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</si>
  <si>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</si>
  <si>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</si>
  <si>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</si>
  <si>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</si>
  <si>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</si>
  <si>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</si>
  <si>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</si>
  <si>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</si>
  <si>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</si>
  <si>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</si>
  <si>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</si>
  <si>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</si>
  <si>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</si>
  <si>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</si>
  <si>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</si>
  <si>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</si>
  <si>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</si>
  <si>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</si>
  <si>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</si>
  <si>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</si>
  <si>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</si>
  <si>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</si>
  <si>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</si>
  <si>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</si>
  <si>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</si>
  <si>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</si>
  <si>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</si>
  <si>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</si>
  <si>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</si>
  <si>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</si>
  <si>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</si>
  <si>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</si>
  <si>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</si>
  <si>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High_Street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</si>
  <si>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</si>
  <si>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</si>
  <si>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</si>
  <si>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</si>
  <si>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</si>
  <si>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</si>
  <si>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</si>
  <si>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</si>
  <si>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</si>
  <si>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</si>
  <si>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</si>
  <si>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</si>
  <si>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</si>
  <si>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</si>
  <si>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</si>
  <si>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</si>
  <si>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</si>
  <si>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</si>
  <si>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</si>
  <si>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</si>
  <si>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</si>
  <si>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</si>
  <si>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</si>
  <si>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</si>
  <si>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</si>
  <si>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</si>
  <si>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Item</t>
  </si>
  <si>
    <t>Value</t>
  </si>
  <si>
    <t>Dependent Variable</t>
  </si>
  <si>
    <t>Independent Variable</t>
  </si>
  <si>
    <t>Variable</t>
  </si>
  <si>
    <t>Coefficient</t>
  </si>
  <si>
    <t>R²</t>
  </si>
  <si>
    <t>Marketing Spend</t>
  </si>
  <si>
    <t>Multiple Regression</t>
  </si>
  <si>
    <t>Coefficients Table</t>
  </si>
  <si>
    <t>Significant?</t>
  </si>
  <si>
    <t>Inventory Availability %</t>
  </si>
  <si>
    <t>Customer Rating</t>
  </si>
  <si>
    <t>No</t>
  </si>
  <si>
    <t>Yes</t>
  </si>
  <si>
    <t>Inventory availibility</t>
  </si>
  <si>
    <t>Region_ South</t>
  </si>
  <si>
    <t>Variables</t>
  </si>
  <si>
    <t>Significant Variables</t>
  </si>
  <si>
    <t>Selected Model</t>
  </si>
  <si>
    <t>Simple 1</t>
  </si>
  <si>
    <t>Simple 2</t>
  </si>
  <si>
    <t>Multiple</t>
  </si>
  <si>
    <t>Marketing + Footfall + Inventory + Rating + Region</t>
  </si>
  <si>
    <t>Marketing, Footfall, Inventory, Rating</t>
  </si>
  <si>
    <t>Model_Comparison_Table</t>
  </si>
  <si>
    <t>Avg. for Customer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</si>
</sst>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1" fontId="1" fillId="0" borderId="0" xfId="0" applyNumberFormat="1" applyFont="1" applyAlignment="1">
      <alignment horizontal="right" vertical="center" wrapText="1"/>
    </xf>
    <xf numFmtId="4" fontId="1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11" fontId="1" fillId="0" borderId="3" xfId="0" applyNumberFormat="1" applyFont="1" applyBorder="1" applyAlignment="1">
      <alignment horizontal="right" vertical="center" wrapText="1"/>
    </xf>
    <xf numFmtId="4" fontId="0" fillId="0" borderId="3" xfId="0" applyNumberFormat="1" applyBorder="1" applyAlignment="1">
      <alignment horizontal="right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opLeftCell="E1" workbookViewId="0">
      <selection activeCell="P1" sqref="P1"/>
    </sheetView>
  </sheetViews>
  <sheetFormatPr defaultRowHeight="14.4"/>
  <cols>
    <col min="1" max="14" width="17.77734375" customWidth="1"/>
  </cols>
  <sheetData>
    <row r="1" spans="1:14" ht="22.35" customHeight="1">
      <c r="A1" s="1" t="s">
        <v>15</v>
      </c>
      <c r="B1" s="1" t="s">
        <v>16</v>
      </c>
      <c r="C1" s="1" t="s">
        <v>0</v>
      </c>
      <c r="D1" s="1" t="s">
        <v>4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 spans="1:14">
      <c r="A2" s="3" t="s">
        <v>27</v>
      </c>
      <c r="B2" s="4">
        <v>45658</v>
      </c>
      <c r="C2" s="3" t="s">
        <v>8</v>
      </c>
      <c r="D2" s="3" t="s">
        <v>28</v>
      </c>
      <c r="E2" s="3">
        <v>70389.11</v>
      </c>
      <c r="F2" s="3">
        <v>8302</v>
      </c>
      <c r="G2" s="3">
        <v>4.2000000000000003E-2</v>
      </c>
      <c r="H2" s="3">
        <v>17</v>
      </c>
      <c r="I2" s="3">
        <v>75</v>
      </c>
      <c r="J2" s="3">
        <v>5.28</v>
      </c>
      <c r="K2" s="3">
        <v>1</v>
      </c>
      <c r="L2" s="3">
        <v>3.1</v>
      </c>
      <c r="M2" s="3">
        <v>658832.62</v>
      </c>
      <c r="N2" s="3">
        <v>84349.93</v>
      </c>
    </row>
    <row r="3" spans="1:14">
      <c r="A3" s="3" t="s">
        <v>27</v>
      </c>
      <c r="B3" s="4">
        <v>45689</v>
      </c>
      <c r="C3" s="3" t="s">
        <v>8</v>
      </c>
      <c r="D3" s="3" t="s">
        <v>28</v>
      </c>
      <c r="E3" s="3">
        <v>43827.89</v>
      </c>
      <c r="F3" s="3">
        <v>8487</v>
      </c>
      <c r="G3" s="3">
        <v>0.16800000000000001</v>
      </c>
      <c r="H3" s="3">
        <v>23</v>
      </c>
      <c r="I3" s="3">
        <v>84.4</v>
      </c>
      <c r="J3" s="3">
        <v>4.3099999999999996</v>
      </c>
      <c r="K3" s="3">
        <v>0</v>
      </c>
      <c r="L3" s="3">
        <v>2.8</v>
      </c>
      <c r="M3" s="3">
        <v>634436</v>
      </c>
      <c r="N3" s="3">
        <v>106130.54</v>
      </c>
    </row>
    <row r="4" spans="1:14">
      <c r="A4" s="3" t="s">
        <v>27</v>
      </c>
      <c r="B4" s="4">
        <v>45717</v>
      </c>
      <c r="C4" s="3" t="s">
        <v>8</v>
      </c>
      <c r="D4" s="3" t="s">
        <v>28</v>
      </c>
      <c r="E4" s="3">
        <v>59921.75</v>
      </c>
      <c r="F4" s="3">
        <v>9113</v>
      </c>
      <c r="G4" s="3">
        <v>0.13300000000000001</v>
      </c>
      <c r="H4" s="3">
        <v>20</v>
      </c>
      <c r="I4" s="3">
        <v>88</v>
      </c>
      <c r="J4" s="3">
        <v>12</v>
      </c>
      <c r="K4" s="3">
        <v>0</v>
      </c>
      <c r="L4" s="3">
        <v>3.2</v>
      </c>
      <c r="M4" s="3">
        <v>678722.06</v>
      </c>
      <c r="N4" s="3">
        <v>101883.86</v>
      </c>
    </row>
    <row r="5" spans="1:14">
      <c r="A5" s="3" t="s">
        <v>27</v>
      </c>
      <c r="B5" s="4">
        <v>45748</v>
      </c>
      <c r="C5" s="3" t="s">
        <v>8</v>
      </c>
      <c r="D5" s="3" t="s">
        <v>28</v>
      </c>
      <c r="E5" s="3">
        <v>56856.63</v>
      </c>
      <c r="F5" s="3">
        <v>9431</v>
      </c>
      <c r="G5" s="3">
        <v>0.14199999999999999</v>
      </c>
      <c r="H5" s="3">
        <v>23</v>
      </c>
      <c r="I5" s="3">
        <v>86.9</v>
      </c>
      <c r="J5" s="3">
        <v>4.97</v>
      </c>
      <c r="K5" s="3">
        <v>0</v>
      </c>
      <c r="L5" s="3">
        <v>3.4</v>
      </c>
      <c r="M5" s="3">
        <v>658920.30000000005</v>
      </c>
      <c r="N5" s="3">
        <v>97910.37</v>
      </c>
    </row>
    <row r="6" spans="1:14">
      <c r="A6" s="3" t="s">
        <v>29</v>
      </c>
      <c r="B6" s="4">
        <v>45658</v>
      </c>
      <c r="C6" s="3" t="s">
        <v>8</v>
      </c>
      <c r="D6" s="3" t="s">
        <v>30</v>
      </c>
      <c r="E6" s="3">
        <v>48412.639999999999</v>
      </c>
      <c r="F6" s="3">
        <v>9545</v>
      </c>
      <c r="G6" s="3">
        <v>0.23100000000000001</v>
      </c>
      <c r="H6" s="3">
        <v>21</v>
      </c>
      <c r="I6" s="3">
        <v>97.6</v>
      </c>
      <c r="J6" s="3">
        <v>6.94</v>
      </c>
      <c r="K6" s="3">
        <v>1</v>
      </c>
      <c r="L6" s="3">
        <v>4.2</v>
      </c>
      <c r="M6" s="3">
        <v>741341.44</v>
      </c>
      <c r="N6" s="3">
        <v>119208.17</v>
      </c>
    </row>
    <row r="7" spans="1:14">
      <c r="A7" s="3" t="s">
        <v>29</v>
      </c>
      <c r="B7" s="4">
        <v>45689</v>
      </c>
      <c r="C7" s="3" t="s">
        <v>8</v>
      </c>
      <c r="D7" s="3" t="s">
        <v>30</v>
      </c>
      <c r="E7" s="3">
        <v>64811.21</v>
      </c>
      <c r="F7" s="3">
        <v>9792</v>
      </c>
      <c r="G7" s="3">
        <v>0.112</v>
      </c>
      <c r="H7" s="3">
        <v>20</v>
      </c>
      <c r="I7" s="3">
        <v>84.2</v>
      </c>
      <c r="J7" s="3">
        <v>2.88</v>
      </c>
      <c r="K7" s="3">
        <v>0</v>
      </c>
      <c r="L7" s="3">
        <v>4.2</v>
      </c>
      <c r="M7" s="3">
        <v>761835.34</v>
      </c>
      <c r="N7" s="3">
        <v>149602.23000000001</v>
      </c>
    </row>
    <row r="8" spans="1:14">
      <c r="A8" s="3" t="s">
        <v>29</v>
      </c>
      <c r="B8" s="4">
        <v>45717</v>
      </c>
      <c r="C8" s="3" t="s">
        <v>8</v>
      </c>
      <c r="D8" s="3" t="s">
        <v>30</v>
      </c>
      <c r="E8" s="3">
        <v>46213.45</v>
      </c>
      <c r="F8" s="3">
        <v>10616</v>
      </c>
      <c r="G8" s="3">
        <v>0.122</v>
      </c>
      <c r="H8" s="3">
        <v>22</v>
      </c>
      <c r="I8" s="3">
        <v>85.2</v>
      </c>
      <c r="J8" s="3">
        <v>0.2</v>
      </c>
      <c r="K8" s="3">
        <v>1</v>
      </c>
      <c r="L8" s="3">
        <v>4.0999999999999996</v>
      </c>
      <c r="M8" s="3">
        <v>806615.54</v>
      </c>
      <c r="N8" s="3">
        <v>131364.62</v>
      </c>
    </row>
    <row r="9" spans="1:14">
      <c r="A9" s="3" t="s">
        <v>29</v>
      </c>
      <c r="B9" s="4">
        <v>45748</v>
      </c>
      <c r="C9" s="3" t="s">
        <v>8</v>
      </c>
      <c r="D9" s="3" t="s">
        <v>30</v>
      </c>
      <c r="E9" s="3">
        <v>68148.52</v>
      </c>
      <c r="F9" s="3">
        <v>8567</v>
      </c>
      <c r="G9" s="3">
        <v>0.127</v>
      </c>
      <c r="H9" s="3">
        <v>23</v>
      </c>
      <c r="I9" s="3">
        <v>95.6</v>
      </c>
      <c r="J9" s="3">
        <v>0.8</v>
      </c>
      <c r="K9" s="3">
        <v>0</v>
      </c>
      <c r="L9" s="3">
        <v>3.9</v>
      </c>
      <c r="M9" s="3">
        <v>850164.26</v>
      </c>
      <c r="N9" s="3">
        <v>149262.75</v>
      </c>
    </row>
    <row r="10" spans="1:14">
      <c r="A10" s="3" t="s">
        <v>31</v>
      </c>
      <c r="B10" s="4">
        <v>45658</v>
      </c>
      <c r="C10" s="3" t="s">
        <v>32</v>
      </c>
      <c r="D10" s="3" t="s">
        <v>33</v>
      </c>
      <c r="E10" s="3">
        <v>71838.86</v>
      </c>
      <c r="F10" s="3">
        <v>10979</v>
      </c>
      <c r="G10" s="3">
        <v>0.215</v>
      </c>
      <c r="H10" s="3">
        <v>26</v>
      </c>
      <c r="I10" s="3">
        <v>88.6</v>
      </c>
      <c r="J10" s="3">
        <v>7.7</v>
      </c>
      <c r="K10" s="3">
        <v>1</v>
      </c>
      <c r="L10" s="3">
        <v>3.8</v>
      </c>
      <c r="M10" s="3">
        <v>930581.7</v>
      </c>
      <c r="N10" s="3">
        <v>136207.98000000001</v>
      </c>
    </row>
    <row r="11" spans="1:14">
      <c r="A11" s="3" t="s">
        <v>31</v>
      </c>
      <c r="B11" s="4">
        <v>45689</v>
      </c>
      <c r="C11" s="3" t="s">
        <v>32</v>
      </c>
      <c r="D11" s="3" t="s">
        <v>33</v>
      </c>
      <c r="E11" s="3">
        <v>68133.440000000002</v>
      </c>
      <c r="F11" s="3">
        <v>9459</v>
      </c>
      <c r="G11" s="3">
        <v>0.22</v>
      </c>
      <c r="H11" s="3">
        <v>21</v>
      </c>
      <c r="I11" s="3">
        <v>85</v>
      </c>
      <c r="J11" s="3">
        <v>1.91</v>
      </c>
      <c r="K11" s="3">
        <v>0</v>
      </c>
      <c r="L11" s="3">
        <v>4.2</v>
      </c>
      <c r="M11" s="3">
        <v>779010.94</v>
      </c>
      <c r="N11" s="3">
        <v>106328.09</v>
      </c>
    </row>
    <row r="12" spans="1:14">
      <c r="A12" s="3" t="s">
        <v>31</v>
      </c>
      <c r="B12" s="4">
        <v>45717</v>
      </c>
      <c r="C12" s="3" t="s">
        <v>32</v>
      </c>
      <c r="D12" s="3" t="s">
        <v>33</v>
      </c>
      <c r="E12" s="3">
        <v>34285.21</v>
      </c>
      <c r="F12" s="3">
        <v>9172</v>
      </c>
      <c r="G12" s="3">
        <v>0.21299999999999999</v>
      </c>
      <c r="H12" s="3">
        <v>22</v>
      </c>
      <c r="I12" s="3">
        <v>88.3</v>
      </c>
      <c r="J12" s="3">
        <v>10.46</v>
      </c>
      <c r="K12" s="3">
        <v>1</v>
      </c>
      <c r="L12" s="3">
        <v>3.8</v>
      </c>
      <c r="M12" s="3">
        <v>723060.76</v>
      </c>
      <c r="N12" s="3">
        <v>123131.24</v>
      </c>
    </row>
    <row r="13" spans="1:14">
      <c r="A13" s="3" t="s">
        <v>31</v>
      </c>
      <c r="B13" s="4">
        <v>45748</v>
      </c>
      <c r="C13" s="3" t="s">
        <v>32</v>
      </c>
      <c r="D13" s="3" t="s">
        <v>33</v>
      </c>
      <c r="E13" s="3">
        <v>67979.88</v>
      </c>
      <c r="F13" s="3">
        <v>11230</v>
      </c>
      <c r="G13" s="3">
        <v>2E-3</v>
      </c>
      <c r="H13" s="3">
        <v>28</v>
      </c>
      <c r="I13" s="3">
        <v>85.3</v>
      </c>
      <c r="J13" s="3">
        <v>7.16</v>
      </c>
      <c r="K13" s="3">
        <v>0</v>
      </c>
      <c r="L13" s="3">
        <v>3.8</v>
      </c>
      <c r="M13" s="3">
        <v>910791.94</v>
      </c>
      <c r="N13" s="3">
        <v>158891.28</v>
      </c>
    </row>
    <row r="14" spans="1:14">
      <c r="A14" s="3" t="s">
        <v>34</v>
      </c>
      <c r="B14" s="4">
        <v>45658</v>
      </c>
      <c r="C14" s="3" t="s">
        <v>8</v>
      </c>
      <c r="D14" s="3" t="s">
        <v>28</v>
      </c>
      <c r="E14" s="3">
        <v>71828.259999999995</v>
      </c>
      <c r="F14" s="3">
        <v>12775</v>
      </c>
      <c r="G14" s="3">
        <v>0.11600000000000001</v>
      </c>
      <c r="H14" s="3">
        <v>30</v>
      </c>
      <c r="I14" s="3">
        <v>81.7</v>
      </c>
      <c r="J14" s="3">
        <v>4.24</v>
      </c>
      <c r="K14" s="3">
        <v>1</v>
      </c>
      <c r="L14" s="3">
        <v>4.2</v>
      </c>
      <c r="M14" s="3">
        <v>922168.6</v>
      </c>
      <c r="N14" s="3">
        <v>107494.53</v>
      </c>
    </row>
    <row r="15" spans="1:14">
      <c r="A15" s="3" t="s">
        <v>34</v>
      </c>
      <c r="B15" s="4">
        <v>45689</v>
      </c>
      <c r="C15" s="3" t="s">
        <v>8</v>
      </c>
      <c r="D15" s="3" t="s">
        <v>28</v>
      </c>
      <c r="E15" s="3">
        <v>55716.82</v>
      </c>
      <c r="F15" s="3">
        <v>10054</v>
      </c>
      <c r="G15" s="3">
        <v>0.14599999999999999</v>
      </c>
      <c r="H15" s="3">
        <v>24</v>
      </c>
      <c r="I15" s="3">
        <v>84.9</v>
      </c>
      <c r="J15" s="3">
        <v>1.06</v>
      </c>
      <c r="K15" s="3">
        <v>0</v>
      </c>
      <c r="L15" s="3">
        <v>4.3</v>
      </c>
      <c r="M15" s="3">
        <v>726606.28</v>
      </c>
      <c r="N15" s="3">
        <v>122729.29</v>
      </c>
    </row>
    <row r="16" spans="1:14">
      <c r="A16" s="3" t="s">
        <v>34</v>
      </c>
      <c r="B16" s="4">
        <v>45717</v>
      </c>
      <c r="C16" s="3" t="s">
        <v>8</v>
      </c>
      <c r="D16" s="3" t="s">
        <v>28</v>
      </c>
      <c r="E16" s="3">
        <v>59909.51</v>
      </c>
      <c r="F16" s="3">
        <v>8895</v>
      </c>
      <c r="G16" s="3">
        <v>0.22800000000000001</v>
      </c>
      <c r="H16" s="3">
        <v>23</v>
      </c>
      <c r="I16" s="3">
        <v>88.8</v>
      </c>
      <c r="J16" s="3">
        <v>0.27</v>
      </c>
      <c r="K16" s="3">
        <v>0</v>
      </c>
      <c r="L16" s="3">
        <v>4.3</v>
      </c>
      <c r="M16" s="3">
        <v>746501.09</v>
      </c>
      <c r="N16" s="3">
        <v>136816.72</v>
      </c>
    </row>
    <row r="17" spans="1:14">
      <c r="A17" s="3" t="s">
        <v>34</v>
      </c>
      <c r="B17" s="4">
        <v>45748</v>
      </c>
      <c r="C17" s="3" t="s">
        <v>8</v>
      </c>
      <c r="D17" s="3" t="s">
        <v>28</v>
      </c>
      <c r="E17" s="3">
        <v>75305.710000000006</v>
      </c>
      <c r="F17" s="3">
        <v>10940</v>
      </c>
      <c r="G17" s="3">
        <v>6.0000000000000001E-3</v>
      </c>
      <c r="H17" s="3">
        <v>26</v>
      </c>
      <c r="I17" s="3">
        <v>76.5</v>
      </c>
      <c r="J17" s="3">
        <v>1.32</v>
      </c>
      <c r="K17" s="3">
        <v>0</v>
      </c>
      <c r="L17" s="3">
        <v>4.5</v>
      </c>
      <c r="M17" s="3">
        <v>834017.02</v>
      </c>
      <c r="N17" s="3">
        <v>114745.03</v>
      </c>
    </row>
    <row r="18" spans="1:14">
      <c r="A18" s="3" t="s">
        <v>35</v>
      </c>
      <c r="B18" s="4">
        <v>45658</v>
      </c>
      <c r="C18" s="3" t="s">
        <v>9</v>
      </c>
      <c r="D18" s="3" t="s">
        <v>28</v>
      </c>
      <c r="E18" s="3">
        <v>48804.22</v>
      </c>
      <c r="F18" s="3">
        <v>7057</v>
      </c>
      <c r="G18" s="3">
        <v>5.0000000000000001E-3</v>
      </c>
      <c r="H18" s="3">
        <v>15</v>
      </c>
      <c r="I18" s="3">
        <v>87.7</v>
      </c>
      <c r="J18" s="3">
        <v>1.22</v>
      </c>
      <c r="K18" s="3">
        <v>0</v>
      </c>
      <c r="L18" s="3">
        <v>3.7</v>
      </c>
      <c r="M18" s="3">
        <v>666152.52</v>
      </c>
      <c r="N18" s="3">
        <v>107490.58</v>
      </c>
    </row>
    <row r="19" spans="1:14">
      <c r="A19" s="3" t="s">
        <v>35</v>
      </c>
      <c r="B19" s="4">
        <v>45689</v>
      </c>
      <c r="C19" s="3" t="s">
        <v>9</v>
      </c>
      <c r="D19" s="3" t="s">
        <v>28</v>
      </c>
      <c r="E19" s="3">
        <v>59117.9</v>
      </c>
      <c r="F19" s="3">
        <v>4263</v>
      </c>
      <c r="G19" s="3">
        <v>0.11899999999999999</v>
      </c>
      <c r="H19" s="3">
        <v>9</v>
      </c>
      <c r="I19" s="3">
        <v>87.6</v>
      </c>
      <c r="J19" s="3">
        <v>4.01</v>
      </c>
      <c r="K19" s="3">
        <v>0</v>
      </c>
      <c r="L19" s="3">
        <v>3.6</v>
      </c>
      <c r="M19" s="3">
        <v>573155.18999999994</v>
      </c>
      <c r="N19" s="3">
        <v>83680.75</v>
      </c>
    </row>
    <row r="20" spans="1:14">
      <c r="A20" s="3" t="s">
        <v>35</v>
      </c>
      <c r="B20" s="4">
        <v>45717</v>
      </c>
      <c r="C20" s="3" t="s">
        <v>9</v>
      </c>
      <c r="D20" s="3" t="s">
        <v>28</v>
      </c>
      <c r="E20" s="3">
        <v>78831.12</v>
      </c>
      <c r="F20" s="3">
        <v>5538</v>
      </c>
      <c r="G20" s="3">
        <v>0</v>
      </c>
      <c r="H20" s="3">
        <v>15</v>
      </c>
      <c r="I20" s="3">
        <v>94.1</v>
      </c>
      <c r="J20" s="3">
        <v>0.2</v>
      </c>
      <c r="K20" s="3">
        <v>0</v>
      </c>
      <c r="L20" s="3">
        <v>3.9</v>
      </c>
      <c r="M20" s="3">
        <v>666573.19999999995</v>
      </c>
      <c r="N20" s="3">
        <v>140641.01999999999</v>
      </c>
    </row>
    <row r="21" spans="1:14">
      <c r="A21" s="3" t="s">
        <v>35</v>
      </c>
      <c r="B21" s="4">
        <v>45748</v>
      </c>
      <c r="C21" s="3" t="s">
        <v>9</v>
      </c>
      <c r="D21" s="3" t="s">
        <v>28</v>
      </c>
      <c r="E21" s="3">
        <v>41441.93</v>
      </c>
      <c r="F21" s="3">
        <v>4865</v>
      </c>
      <c r="G21" s="3">
        <v>0.158</v>
      </c>
      <c r="H21" s="3">
        <v>16</v>
      </c>
      <c r="I21" s="3">
        <v>88.3</v>
      </c>
      <c r="J21" s="3">
        <v>0.5</v>
      </c>
      <c r="K21" s="3">
        <v>0</v>
      </c>
      <c r="L21" s="3">
        <v>4</v>
      </c>
      <c r="M21" s="3">
        <v>591619.94999999995</v>
      </c>
      <c r="N21" s="3">
        <v>99521.35</v>
      </c>
    </row>
    <row r="22" spans="1:14">
      <c r="A22" s="3" t="s">
        <v>36</v>
      </c>
      <c r="B22" s="4">
        <v>45658</v>
      </c>
      <c r="C22" s="3" t="s">
        <v>32</v>
      </c>
      <c r="D22" s="3" t="s">
        <v>28</v>
      </c>
      <c r="E22" s="3">
        <v>30356.28</v>
      </c>
      <c r="F22" s="3">
        <v>2822</v>
      </c>
      <c r="G22" s="3">
        <v>0.23100000000000001</v>
      </c>
      <c r="H22" s="3">
        <v>9</v>
      </c>
      <c r="I22" s="3">
        <v>84.8</v>
      </c>
      <c r="J22" s="3">
        <v>6.95</v>
      </c>
      <c r="K22" s="3">
        <v>0</v>
      </c>
      <c r="L22" s="3">
        <v>5</v>
      </c>
      <c r="M22" s="3">
        <v>415721.82</v>
      </c>
      <c r="N22" s="3">
        <v>61179.15</v>
      </c>
    </row>
    <row r="23" spans="1:14">
      <c r="A23" s="3" t="s">
        <v>36</v>
      </c>
      <c r="B23" s="4">
        <v>45689</v>
      </c>
      <c r="C23" s="3" t="s">
        <v>32</v>
      </c>
      <c r="D23" s="3" t="s">
        <v>28</v>
      </c>
      <c r="E23" s="3">
        <v>33518.879999999997</v>
      </c>
      <c r="F23" s="3">
        <v>2121</v>
      </c>
      <c r="G23" s="3">
        <v>0.17599999999999999</v>
      </c>
      <c r="H23" s="3">
        <v>8</v>
      </c>
      <c r="I23" s="3">
        <v>88.5</v>
      </c>
      <c r="J23" s="3">
        <v>0.2</v>
      </c>
      <c r="K23" s="3">
        <v>0</v>
      </c>
      <c r="L23" s="3">
        <v>5</v>
      </c>
      <c r="M23" s="3">
        <v>491905.13</v>
      </c>
      <c r="N23" s="3">
        <v>79212.259999999995</v>
      </c>
    </row>
    <row r="24" spans="1:14">
      <c r="A24" s="3" t="s">
        <v>36</v>
      </c>
      <c r="B24" s="4">
        <v>45717</v>
      </c>
      <c r="C24" s="3" t="s">
        <v>32</v>
      </c>
      <c r="D24" s="3" t="s">
        <v>28</v>
      </c>
      <c r="E24" s="3">
        <v>42267.37</v>
      </c>
      <c r="F24" s="3">
        <v>3364</v>
      </c>
      <c r="G24" s="3">
        <v>0.16</v>
      </c>
      <c r="H24" s="3">
        <v>13</v>
      </c>
      <c r="I24" s="3">
        <v>82</v>
      </c>
      <c r="J24" s="3">
        <v>1.61</v>
      </c>
      <c r="K24" s="3">
        <v>1</v>
      </c>
      <c r="L24" s="3">
        <v>4.5999999999999996</v>
      </c>
      <c r="M24" s="3">
        <v>555929.4</v>
      </c>
      <c r="N24" s="3">
        <v>115201.76</v>
      </c>
    </row>
    <row r="25" spans="1:14">
      <c r="A25" s="3" t="s">
        <v>36</v>
      </c>
      <c r="B25" s="4">
        <v>45748</v>
      </c>
      <c r="C25" s="3" t="s">
        <v>32</v>
      </c>
      <c r="D25" s="3" t="s">
        <v>28</v>
      </c>
      <c r="E25" s="3">
        <v>62060.43</v>
      </c>
      <c r="F25" s="3">
        <v>2613</v>
      </c>
      <c r="G25" s="3">
        <v>0.216</v>
      </c>
      <c r="H25" s="3">
        <v>12</v>
      </c>
      <c r="I25" s="3">
        <v>92.1</v>
      </c>
      <c r="J25" s="3">
        <v>1.55</v>
      </c>
      <c r="K25" s="3">
        <v>0</v>
      </c>
      <c r="L25" s="3">
        <v>4.7</v>
      </c>
      <c r="M25" s="3">
        <v>565810.99</v>
      </c>
      <c r="N25" s="3">
        <v>77825.460000000006</v>
      </c>
    </row>
    <row r="26" spans="1:14">
      <c r="A26" s="3" t="s">
        <v>37</v>
      </c>
      <c r="B26" s="4">
        <v>45658</v>
      </c>
      <c r="C26" s="3" t="s">
        <v>10</v>
      </c>
      <c r="D26" s="3" t="s">
        <v>38</v>
      </c>
      <c r="E26" s="3">
        <v>57696.69</v>
      </c>
      <c r="F26" s="3">
        <v>10218</v>
      </c>
      <c r="G26" s="3">
        <v>0.121</v>
      </c>
      <c r="H26" s="3">
        <v>25</v>
      </c>
      <c r="I26" s="3">
        <v>94.8</v>
      </c>
      <c r="J26" s="3">
        <v>2.99</v>
      </c>
      <c r="K26" s="3">
        <v>0</v>
      </c>
      <c r="L26" s="3">
        <v>3.5</v>
      </c>
      <c r="M26" s="3">
        <v>811771.14</v>
      </c>
      <c r="N26" s="3">
        <v>148756.24</v>
      </c>
    </row>
    <row r="27" spans="1:14">
      <c r="A27" s="3" t="s">
        <v>37</v>
      </c>
      <c r="B27" s="4">
        <v>45689</v>
      </c>
      <c r="C27" s="3" t="s">
        <v>10</v>
      </c>
      <c r="D27" s="3" t="s">
        <v>38</v>
      </c>
      <c r="E27" s="3">
        <v>172415.52</v>
      </c>
      <c r="F27" s="3">
        <v>8927</v>
      </c>
      <c r="G27" s="3">
        <v>0.14000000000000001</v>
      </c>
      <c r="H27" s="3">
        <v>22</v>
      </c>
      <c r="I27" s="3">
        <v>86.2</v>
      </c>
      <c r="J27" s="3">
        <v>7.04</v>
      </c>
      <c r="K27" s="3">
        <v>0</v>
      </c>
      <c r="L27" s="3">
        <v>3.9</v>
      </c>
      <c r="M27" s="3">
        <v>800451.94</v>
      </c>
      <c r="N27" s="3">
        <v>111572.29</v>
      </c>
    </row>
    <row r="28" spans="1:14">
      <c r="A28" s="3" t="s">
        <v>37</v>
      </c>
      <c r="B28" s="4">
        <v>45717</v>
      </c>
      <c r="C28" s="3" t="s">
        <v>10</v>
      </c>
      <c r="D28" s="3" t="s">
        <v>38</v>
      </c>
      <c r="E28" s="3">
        <v>55270.52</v>
      </c>
      <c r="F28" s="3">
        <v>9315</v>
      </c>
      <c r="G28" s="3">
        <v>0.16900000000000001</v>
      </c>
      <c r="H28" s="3">
        <v>23</v>
      </c>
      <c r="I28" s="3">
        <v>91.9</v>
      </c>
      <c r="J28" s="3">
        <v>4.9400000000000004</v>
      </c>
      <c r="K28" s="3">
        <v>0</v>
      </c>
      <c r="L28" s="3">
        <v>4</v>
      </c>
      <c r="M28" s="3">
        <v>783672.82</v>
      </c>
      <c r="N28" s="3">
        <v>112577.14</v>
      </c>
    </row>
    <row r="29" spans="1:14">
      <c r="A29" s="3" t="s">
        <v>37</v>
      </c>
      <c r="B29" s="4">
        <v>45748</v>
      </c>
      <c r="C29" s="3" t="s">
        <v>10</v>
      </c>
      <c r="D29" s="3" t="s">
        <v>38</v>
      </c>
      <c r="E29" s="3">
        <v>52715.1</v>
      </c>
      <c r="F29" s="3">
        <v>7223</v>
      </c>
      <c r="G29" s="3">
        <v>0.122</v>
      </c>
      <c r="H29" s="3">
        <v>16</v>
      </c>
      <c r="I29" s="3">
        <v>84.2</v>
      </c>
      <c r="J29" s="3">
        <v>16.149999999999999</v>
      </c>
      <c r="K29" s="3">
        <v>0</v>
      </c>
      <c r="L29" s="3">
        <v>3.7</v>
      </c>
      <c r="M29" s="3">
        <v>701641.97</v>
      </c>
      <c r="N29" s="3">
        <v>106111.86</v>
      </c>
    </row>
    <row r="30" spans="1:14">
      <c r="A30" s="3" t="s">
        <v>39</v>
      </c>
      <c r="B30" s="4">
        <v>45658</v>
      </c>
      <c r="C30" s="3" t="s">
        <v>8</v>
      </c>
      <c r="D30" s="3" t="s">
        <v>28</v>
      </c>
      <c r="E30" s="3">
        <v>68600.62</v>
      </c>
      <c r="F30" s="3">
        <v>3988</v>
      </c>
      <c r="G30" s="3">
        <v>0.124</v>
      </c>
      <c r="H30" s="3">
        <v>11</v>
      </c>
      <c r="I30" s="3">
        <v>85</v>
      </c>
      <c r="J30" s="3">
        <v>0.48</v>
      </c>
      <c r="K30" s="3">
        <v>0</v>
      </c>
      <c r="L30" s="3">
        <v>3.6</v>
      </c>
      <c r="M30" s="3">
        <v>511844.41</v>
      </c>
      <c r="N30" s="3">
        <v>72774.44</v>
      </c>
    </row>
    <row r="31" spans="1:14">
      <c r="A31" s="3" t="s">
        <v>39</v>
      </c>
      <c r="B31" s="4">
        <v>45689</v>
      </c>
      <c r="C31" s="3" t="s">
        <v>8</v>
      </c>
      <c r="D31" s="3" t="s">
        <v>28</v>
      </c>
      <c r="E31" s="3">
        <v>63176.73</v>
      </c>
      <c r="F31" s="3">
        <v>2390</v>
      </c>
      <c r="G31" s="3">
        <v>0.216</v>
      </c>
      <c r="H31" s="3">
        <v>9</v>
      </c>
      <c r="I31" s="3">
        <v>87.5</v>
      </c>
      <c r="J31" s="3">
        <v>0.31</v>
      </c>
      <c r="K31" s="3">
        <v>0</v>
      </c>
      <c r="L31" s="3">
        <v>3.1</v>
      </c>
      <c r="M31" s="3">
        <v>537383.79</v>
      </c>
      <c r="N31" s="3">
        <v>63773.27</v>
      </c>
    </row>
    <row r="32" spans="1:14">
      <c r="A32" s="3" t="s">
        <v>39</v>
      </c>
      <c r="B32" s="4">
        <v>45717</v>
      </c>
      <c r="C32" s="3" t="s">
        <v>8</v>
      </c>
      <c r="D32" s="3" t="s">
        <v>28</v>
      </c>
      <c r="E32" s="3">
        <v>44970.080000000002</v>
      </c>
      <c r="F32" s="3">
        <v>2471</v>
      </c>
      <c r="G32" s="3">
        <v>0.13600000000000001</v>
      </c>
      <c r="H32" s="3">
        <v>11</v>
      </c>
      <c r="I32" s="3">
        <v>87.6</v>
      </c>
      <c r="J32" s="3">
        <v>3.01</v>
      </c>
      <c r="K32" s="3">
        <v>1</v>
      </c>
      <c r="L32" s="3">
        <v>3.7</v>
      </c>
      <c r="M32" s="3">
        <v>500173.02</v>
      </c>
      <c r="N32" s="3">
        <v>70982.05</v>
      </c>
    </row>
    <row r="33" spans="1:14">
      <c r="A33" s="3" t="s">
        <v>39</v>
      </c>
      <c r="B33" s="4">
        <v>45748</v>
      </c>
      <c r="C33" s="3" t="s">
        <v>8</v>
      </c>
      <c r="D33" s="3" t="s">
        <v>28</v>
      </c>
      <c r="E33" s="3">
        <v>69816.350000000006</v>
      </c>
      <c r="F33" s="3">
        <v>971</v>
      </c>
      <c r="G33" s="3">
        <v>0.16800000000000001</v>
      </c>
      <c r="H33" s="3">
        <v>5</v>
      </c>
      <c r="I33" s="3">
        <v>89.9</v>
      </c>
      <c r="J33" s="3">
        <v>12.15</v>
      </c>
      <c r="K33" s="3">
        <v>0</v>
      </c>
      <c r="L33" s="3">
        <v>3.6</v>
      </c>
      <c r="M33" s="3">
        <v>427917.38</v>
      </c>
      <c r="N33" s="3">
        <v>81824.31</v>
      </c>
    </row>
    <row r="34" spans="1:14">
      <c r="A34" s="3" t="s">
        <v>40</v>
      </c>
      <c r="B34" s="4">
        <v>45658</v>
      </c>
      <c r="C34" s="3" t="s">
        <v>32</v>
      </c>
      <c r="D34" s="3" t="s">
        <v>28</v>
      </c>
      <c r="E34" s="3">
        <v>54597.83</v>
      </c>
      <c r="F34" s="3">
        <v>9429</v>
      </c>
      <c r="G34" s="3">
        <v>0.188</v>
      </c>
      <c r="H34" s="3">
        <v>21</v>
      </c>
      <c r="I34" s="3">
        <v>83.3</v>
      </c>
      <c r="J34" s="3">
        <v>11.71</v>
      </c>
      <c r="K34" s="3">
        <v>0</v>
      </c>
      <c r="L34" s="3">
        <v>4.2</v>
      </c>
      <c r="M34" s="3">
        <v>641865.03</v>
      </c>
      <c r="N34" s="3">
        <v>81342.58</v>
      </c>
    </row>
    <row r="35" spans="1:14">
      <c r="A35" s="3" t="s">
        <v>40</v>
      </c>
      <c r="B35" s="4">
        <v>45689</v>
      </c>
      <c r="C35" s="3" t="s">
        <v>32</v>
      </c>
      <c r="D35" s="3" t="s">
        <v>28</v>
      </c>
      <c r="E35" s="3">
        <v>73771.91</v>
      </c>
      <c r="F35" s="3">
        <v>11695</v>
      </c>
      <c r="G35" s="3">
        <v>7.0000000000000007E-2</v>
      </c>
      <c r="H35" s="3">
        <v>25</v>
      </c>
      <c r="I35" s="3">
        <v>84.7</v>
      </c>
      <c r="J35" s="3">
        <v>0.62</v>
      </c>
      <c r="K35" s="3">
        <v>0</v>
      </c>
      <c r="L35" s="3"/>
      <c r="M35" s="3">
        <v>799477.76000000001</v>
      </c>
      <c r="N35" s="3">
        <v>164974.41</v>
      </c>
    </row>
    <row r="36" spans="1:14">
      <c r="A36" s="3" t="s">
        <v>40</v>
      </c>
      <c r="B36" s="4">
        <v>45717</v>
      </c>
      <c r="C36" s="3" t="s">
        <v>32</v>
      </c>
      <c r="D36" s="3" t="s">
        <v>28</v>
      </c>
      <c r="E36" s="3">
        <v>74413.88</v>
      </c>
      <c r="F36" s="3">
        <v>9449</v>
      </c>
      <c r="G36" s="3">
        <v>3.9E-2</v>
      </c>
      <c r="H36" s="3">
        <v>23</v>
      </c>
      <c r="I36" s="3">
        <v>92.1</v>
      </c>
      <c r="J36" s="3">
        <v>2.12</v>
      </c>
      <c r="K36" s="3">
        <v>0</v>
      </c>
      <c r="L36" s="3">
        <v>3.5</v>
      </c>
      <c r="M36" s="3">
        <v>798952.17</v>
      </c>
      <c r="N36" s="3">
        <v>161499.04</v>
      </c>
    </row>
    <row r="37" spans="1:14">
      <c r="A37" s="3" t="s">
        <v>40</v>
      </c>
      <c r="B37" s="4">
        <v>45748</v>
      </c>
      <c r="C37" s="3" t="s">
        <v>32</v>
      </c>
      <c r="D37" s="3" t="s">
        <v>28</v>
      </c>
      <c r="E37" s="3">
        <v>52483.77</v>
      </c>
      <c r="F37" s="3">
        <v>10453</v>
      </c>
      <c r="G37" s="3">
        <v>0.247</v>
      </c>
      <c r="H37" s="3">
        <v>25</v>
      </c>
      <c r="I37" s="3">
        <v>99</v>
      </c>
      <c r="J37" s="3">
        <v>6.31</v>
      </c>
      <c r="K37" s="3">
        <v>0</v>
      </c>
      <c r="L37" s="3">
        <v>3.6</v>
      </c>
      <c r="M37" s="3">
        <v>800979.78</v>
      </c>
      <c r="N37" s="3">
        <v>149242.26999999999</v>
      </c>
    </row>
    <row r="38" spans="1:14">
      <c r="A38" s="3" t="s">
        <v>41</v>
      </c>
      <c r="B38" s="4">
        <v>45658</v>
      </c>
      <c r="C38" s="3" t="s">
        <v>32</v>
      </c>
      <c r="D38" s="3" t="s">
        <v>38</v>
      </c>
      <c r="E38" s="3">
        <v>75269.87</v>
      </c>
      <c r="F38" s="3">
        <v>8838</v>
      </c>
      <c r="G38" s="3">
        <v>9.1999999999999998E-2</v>
      </c>
      <c r="H38" s="3">
        <v>21</v>
      </c>
      <c r="I38" s="3">
        <v>83.1</v>
      </c>
      <c r="J38" s="3">
        <v>9.56</v>
      </c>
      <c r="K38" s="3">
        <v>1</v>
      </c>
      <c r="L38" s="3">
        <v>4.2</v>
      </c>
      <c r="M38" s="3">
        <v>820593.93</v>
      </c>
      <c r="N38" s="3">
        <v>115860.06</v>
      </c>
    </row>
    <row r="39" spans="1:14">
      <c r="A39" s="3" t="s">
        <v>41</v>
      </c>
      <c r="B39" s="4">
        <v>45689</v>
      </c>
      <c r="C39" s="3" t="s">
        <v>32</v>
      </c>
      <c r="D39" s="3" t="s">
        <v>38</v>
      </c>
      <c r="E39" s="3">
        <v>61245.41</v>
      </c>
      <c r="F39" s="3">
        <v>8156</v>
      </c>
      <c r="G39" s="3">
        <v>0.156</v>
      </c>
      <c r="H39" s="3">
        <v>19</v>
      </c>
      <c r="I39" s="3">
        <v>92.9</v>
      </c>
      <c r="J39" s="3">
        <v>9.0500000000000007</v>
      </c>
      <c r="K39" s="3">
        <v>0</v>
      </c>
      <c r="L39" s="3">
        <v>3.8</v>
      </c>
      <c r="M39" s="3">
        <v>718330.53</v>
      </c>
      <c r="N39" s="3">
        <v>93247.9</v>
      </c>
    </row>
    <row r="40" spans="1:14">
      <c r="A40" s="3" t="s">
        <v>41</v>
      </c>
      <c r="B40" s="4">
        <v>45717</v>
      </c>
      <c r="C40" s="3" t="s">
        <v>32</v>
      </c>
      <c r="D40" s="3" t="s">
        <v>38</v>
      </c>
      <c r="E40" s="3">
        <v>93381.26</v>
      </c>
      <c r="F40" s="3">
        <v>7562</v>
      </c>
      <c r="G40" s="3">
        <v>0.19800000000000001</v>
      </c>
      <c r="H40" s="3">
        <v>19</v>
      </c>
      <c r="I40" s="3">
        <v>82.9</v>
      </c>
      <c r="J40" s="3">
        <v>5.05</v>
      </c>
      <c r="K40" s="3">
        <v>0</v>
      </c>
      <c r="L40" s="3">
        <v>4</v>
      </c>
      <c r="M40" s="3">
        <v>736633.4</v>
      </c>
      <c r="N40" s="3">
        <v>115654.66</v>
      </c>
    </row>
    <row r="41" spans="1:14">
      <c r="A41" s="3" t="s">
        <v>41</v>
      </c>
      <c r="B41" s="4">
        <v>45748</v>
      </c>
      <c r="C41" s="3" t="s">
        <v>32</v>
      </c>
      <c r="D41" s="3" t="s">
        <v>38</v>
      </c>
      <c r="E41" s="3">
        <v>65012.19</v>
      </c>
      <c r="F41" s="3">
        <v>9598</v>
      </c>
      <c r="G41" s="3">
        <v>8.5000000000000006E-2</v>
      </c>
      <c r="H41" s="3">
        <v>24</v>
      </c>
      <c r="I41" s="3">
        <v>98.3</v>
      </c>
      <c r="J41" s="3">
        <v>0.89</v>
      </c>
      <c r="K41" s="3">
        <v>0</v>
      </c>
      <c r="L41" s="3">
        <v>3.8</v>
      </c>
      <c r="M41" s="3">
        <v>828623.85</v>
      </c>
      <c r="N41" s="3">
        <v>167320.51999999999</v>
      </c>
    </row>
    <row r="42" spans="1:14">
      <c r="A42" s="3" t="s">
        <v>42</v>
      </c>
      <c r="B42" s="4">
        <v>45658</v>
      </c>
      <c r="C42" s="3" t="s">
        <v>8</v>
      </c>
      <c r="D42" s="3" t="s">
        <v>38</v>
      </c>
      <c r="E42" s="3">
        <v>40462.94</v>
      </c>
      <c r="F42" s="3">
        <v>3660</v>
      </c>
      <c r="G42" s="3">
        <v>0.218</v>
      </c>
      <c r="H42" s="3">
        <v>11</v>
      </c>
      <c r="I42" s="3">
        <v>95.2</v>
      </c>
      <c r="J42" s="3">
        <v>5.57</v>
      </c>
      <c r="K42" s="3">
        <v>0</v>
      </c>
      <c r="L42" s="3">
        <v>4.4000000000000004</v>
      </c>
      <c r="M42" s="3">
        <v>592195.85</v>
      </c>
      <c r="N42" s="3">
        <v>92291.56</v>
      </c>
    </row>
    <row r="43" spans="1:14">
      <c r="A43" s="3" t="s">
        <v>42</v>
      </c>
      <c r="B43" s="4">
        <v>45689</v>
      </c>
      <c r="C43" s="3" t="s">
        <v>8</v>
      </c>
      <c r="D43" s="3" t="s">
        <v>38</v>
      </c>
      <c r="E43" s="3">
        <v>46123.88</v>
      </c>
      <c r="F43" s="3">
        <v>3227</v>
      </c>
      <c r="G43" s="3">
        <v>0.14299999999999999</v>
      </c>
      <c r="H43" s="3">
        <v>10</v>
      </c>
      <c r="I43" s="3">
        <v>75.400000000000006</v>
      </c>
      <c r="J43" s="3">
        <v>1.06</v>
      </c>
      <c r="K43" s="3">
        <v>0</v>
      </c>
      <c r="L43" s="3">
        <v>4.4000000000000004</v>
      </c>
      <c r="M43" s="3">
        <v>532644.46</v>
      </c>
      <c r="N43" s="3">
        <v>60681.32</v>
      </c>
    </row>
    <row r="44" spans="1:14">
      <c r="A44" s="3" t="s">
        <v>42</v>
      </c>
      <c r="B44" s="4">
        <v>45717</v>
      </c>
      <c r="C44" s="3" t="s">
        <v>8</v>
      </c>
      <c r="D44" s="3" t="s">
        <v>38</v>
      </c>
      <c r="E44" s="3">
        <v>68077.539999999994</v>
      </c>
      <c r="F44" s="3">
        <v>3360</v>
      </c>
      <c r="G44" s="3">
        <v>0.128</v>
      </c>
      <c r="H44" s="3">
        <v>14</v>
      </c>
      <c r="I44" s="3">
        <v>88.2</v>
      </c>
      <c r="J44" s="3">
        <v>1.24</v>
      </c>
      <c r="K44" s="3">
        <v>1</v>
      </c>
      <c r="L44" s="3">
        <v>4</v>
      </c>
      <c r="M44" s="3">
        <v>657429.18000000005</v>
      </c>
      <c r="N44" s="3">
        <v>88919.74</v>
      </c>
    </row>
    <row r="45" spans="1:14">
      <c r="A45" s="3" t="s">
        <v>42</v>
      </c>
      <c r="B45" s="4">
        <v>45748</v>
      </c>
      <c r="C45" s="3" t="s">
        <v>8</v>
      </c>
      <c r="D45" s="3" t="s">
        <v>38</v>
      </c>
      <c r="E45" s="3">
        <v>64882.14</v>
      </c>
      <c r="F45" s="3">
        <v>3642</v>
      </c>
      <c r="G45" s="3">
        <v>1.9E-2</v>
      </c>
      <c r="H45" s="3">
        <v>13</v>
      </c>
      <c r="I45" s="3">
        <v>87.8</v>
      </c>
      <c r="J45" s="3">
        <v>4.5199999999999996</v>
      </c>
      <c r="K45" s="3">
        <v>0</v>
      </c>
      <c r="L45" s="3">
        <v>4.2</v>
      </c>
      <c r="M45" s="3">
        <v>605178</v>
      </c>
      <c r="N45" s="3">
        <v>106958.74</v>
      </c>
    </row>
    <row r="46" spans="1:14">
      <c r="A46" s="3" t="s">
        <v>43</v>
      </c>
      <c r="B46" s="4">
        <v>45658</v>
      </c>
      <c r="C46" s="3" t="s">
        <v>10</v>
      </c>
      <c r="D46" s="3" t="s">
        <v>28</v>
      </c>
      <c r="E46" s="3">
        <v>138855.51</v>
      </c>
      <c r="F46" s="3">
        <v>5145</v>
      </c>
      <c r="G46" s="3">
        <v>0.06</v>
      </c>
      <c r="H46" s="3">
        <v>17</v>
      </c>
      <c r="I46" s="3">
        <v>88.2</v>
      </c>
      <c r="J46" s="3">
        <v>9.58</v>
      </c>
      <c r="K46" s="3">
        <v>0</v>
      </c>
      <c r="L46" s="3">
        <v>3.2</v>
      </c>
      <c r="M46" s="3">
        <v>595467.6</v>
      </c>
      <c r="N46" s="3">
        <v>104276.46</v>
      </c>
    </row>
    <row r="47" spans="1:14">
      <c r="A47" s="3" t="s">
        <v>43</v>
      </c>
      <c r="B47" s="4">
        <v>45689</v>
      </c>
      <c r="C47" s="3" t="s">
        <v>10</v>
      </c>
      <c r="D47" s="3" t="s">
        <v>28</v>
      </c>
      <c r="E47" s="3">
        <v>63630.21</v>
      </c>
      <c r="F47" s="3">
        <v>4460</v>
      </c>
      <c r="G47" s="3">
        <v>0.23499999999999999</v>
      </c>
      <c r="H47" s="3">
        <v>14</v>
      </c>
      <c r="I47" s="3">
        <v>98.6</v>
      </c>
      <c r="J47" s="3">
        <v>5.52</v>
      </c>
      <c r="K47" s="3">
        <v>0</v>
      </c>
      <c r="L47" s="3">
        <v>3.5</v>
      </c>
      <c r="M47" s="3">
        <v>599603.4</v>
      </c>
      <c r="N47" s="3">
        <v>112685.12</v>
      </c>
    </row>
    <row r="48" spans="1:14">
      <c r="A48" s="3" t="s">
        <v>43</v>
      </c>
      <c r="B48" s="4">
        <v>45717</v>
      </c>
      <c r="C48" s="3" t="s">
        <v>10</v>
      </c>
      <c r="D48" s="3" t="s">
        <v>28</v>
      </c>
      <c r="E48" s="3">
        <v>50043.65</v>
      </c>
      <c r="F48" s="3">
        <v>3804</v>
      </c>
      <c r="G48" s="3">
        <v>0.113</v>
      </c>
      <c r="H48" s="3">
        <v>11</v>
      </c>
      <c r="I48" s="3">
        <v>90.9</v>
      </c>
      <c r="J48" s="3">
        <v>2.7</v>
      </c>
      <c r="K48" s="3">
        <v>1</v>
      </c>
      <c r="L48" s="3">
        <v>3.2</v>
      </c>
      <c r="M48" s="3">
        <v>614800.09</v>
      </c>
      <c r="N48" s="3">
        <v>100044.2</v>
      </c>
    </row>
    <row r="49" spans="1:14">
      <c r="A49" s="3" t="s">
        <v>43</v>
      </c>
      <c r="B49" s="4">
        <v>45748</v>
      </c>
      <c r="C49" s="3" t="s">
        <v>10</v>
      </c>
      <c r="D49" s="3" t="s">
        <v>28</v>
      </c>
      <c r="E49" s="3">
        <v>42093.84</v>
      </c>
      <c r="F49" s="3">
        <v>4074</v>
      </c>
      <c r="G49" s="3">
        <v>0.155</v>
      </c>
      <c r="H49" s="3">
        <v>15</v>
      </c>
      <c r="I49" s="3">
        <v>88</v>
      </c>
      <c r="J49" s="3">
        <v>9.64</v>
      </c>
      <c r="K49" s="3">
        <v>0</v>
      </c>
      <c r="L49" s="3">
        <v>3.3</v>
      </c>
      <c r="M49" s="3">
        <v>585365.73</v>
      </c>
      <c r="N49" s="3">
        <v>81011.520000000004</v>
      </c>
    </row>
    <row r="50" spans="1:14">
      <c r="A50" s="3" t="s">
        <v>44</v>
      </c>
      <c r="B50" s="4">
        <v>45658</v>
      </c>
      <c r="C50" s="3" t="s">
        <v>32</v>
      </c>
      <c r="D50" s="3" t="s">
        <v>38</v>
      </c>
      <c r="E50" s="3">
        <v>46624.05</v>
      </c>
      <c r="F50" s="3">
        <v>5104</v>
      </c>
      <c r="G50" s="3">
        <v>0.109</v>
      </c>
      <c r="H50" s="3">
        <v>11</v>
      </c>
      <c r="I50" s="3">
        <v>97.3</v>
      </c>
      <c r="J50" s="3">
        <v>3.49</v>
      </c>
      <c r="K50" s="3">
        <v>1</v>
      </c>
      <c r="L50" s="3">
        <v>4.7</v>
      </c>
      <c r="M50" s="3">
        <v>622811.74</v>
      </c>
      <c r="N50" s="3">
        <v>109978.35</v>
      </c>
    </row>
    <row r="51" spans="1:14">
      <c r="A51" s="3" t="s">
        <v>44</v>
      </c>
      <c r="B51" s="4">
        <v>45689</v>
      </c>
      <c r="C51" s="3" t="s">
        <v>32</v>
      </c>
      <c r="D51" s="3" t="s">
        <v>38</v>
      </c>
      <c r="E51" s="3">
        <v>49710.29</v>
      </c>
      <c r="F51" s="3">
        <v>5559</v>
      </c>
      <c r="G51" s="3">
        <v>0.218</v>
      </c>
      <c r="H51" s="3">
        <v>14</v>
      </c>
      <c r="I51" s="3">
        <v>71</v>
      </c>
      <c r="J51" s="3">
        <v>9.11</v>
      </c>
      <c r="K51" s="3">
        <v>0</v>
      </c>
      <c r="L51" s="3">
        <v>4.5999999999999996</v>
      </c>
      <c r="M51" s="3">
        <v>603297.56999999995</v>
      </c>
      <c r="N51" s="3">
        <v>60592.26</v>
      </c>
    </row>
    <row r="52" spans="1:14">
      <c r="A52" s="3" t="s">
        <v>44</v>
      </c>
      <c r="B52" s="4">
        <v>45717</v>
      </c>
      <c r="C52" s="3" t="s">
        <v>32</v>
      </c>
      <c r="D52" s="3" t="s">
        <v>38</v>
      </c>
      <c r="E52" s="3">
        <v>48287.85</v>
      </c>
      <c r="F52" s="3">
        <v>5150</v>
      </c>
      <c r="G52" s="3">
        <v>8.0000000000000002E-3</v>
      </c>
      <c r="H52" s="3">
        <v>12</v>
      </c>
      <c r="I52" s="3">
        <v>80.400000000000006</v>
      </c>
      <c r="J52" s="3">
        <v>7.4</v>
      </c>
      <c r="K52" s="3">
        <v>0</v>
      </c>
      <c r="L52" s="3">
        <v>4.5</v>
      </c>
      <c r="M52" s="3">
        <v>625672.86</v>
      </c>
      <c r="N52" s="3">
        <v>118020.12</v>
      </c>
    </row>
    <row r="53" spans="1:14">
      <c r="A53" s="3" t="s">
        <v>44</v>
      </c>
      <c r="B53" s="4">
        <v>45748</v>
      </c>
      <c r="C53" s="3" t="s">
        <v>32</v>
      </c>
      <c r="D53" s="3" t="s">
        <v>38</v>
      </c>
      <c r="E53" s="3">
        <v>65312.49</v>
      </c>
      <c r="F53" s="3">
        <v>7189</v>
      </c>
      <c r="G53" s="3">
        <v>0.05</v>
      </c>
      <c r="H53" s="3">
        <v>19</v>
      </c>
      <c r="I53" s="3">
        <v>93.7</v>
      </c>
      <c r="J53" s="3">
        <v>7.16</v>
      </c>
      <c r="K53" s="3">
        <v>0</v>
      </c>
      <c r="L53" s="3">
        <v>4.5999999999999996</v>
      </c>
      <c r="M53" s="3">
        <v>773815.14</v>
      </c>
      <c r="N53" s="3">
        <v>133948.39000000001</v>
      </c>
    </row>
    <row r="54" spans="1:14">
      <c r="A54" s="3" t="s">
        <v>45</v>
      </c>
      <c r="B54" s="4">
        <v>45658</v>
      </c>
      <c r="C54" s="3" t="s">
        <v>10</v>
      </c>
      <c r="D54" s="3" t="s">
        <v>30</v>
      </c>
      <c r="E54" s="3">
        <v>53015.46</v>
      </c>
      <c r="F54" s="3">
        <v>3279</v>
      </c>
      <c r="G54" s="3">
        <v>8.6999999999999994E-2</v>
      </c>
      <c r="H54" s="3">
        <v>9</v>
      </c>
      <c r="I54" s="3">
        <v>84.3</v>
      </c>
      <c r="J54" s="3">
        <v>22.02</v>
      </c>
      <c r="K54" s="3">
        <v>0</v>
      </c>
      <c r="L54" s="3">
        <v>3.9</v>
      </c>
      <c r="M54" s="3">
        <v>463534.25</v>
      </c>
      <c r="N54" s="3">
        <v>81834.539999999994</v>
      </c>
    </row>
    <row r="55" spans="1:14">
      <c r="A55" s="3" t="s">
        <v>45</v>
      </c>
      <c r="B55" s="4">
        <v>45689</v>
      </c>
      <c r="C55" s="3" t="s">
        <v>10</v>
      </c>
      <c r="D55" s="3" t="s">
        <v>30</v>
      </c>
      <c r="E55" s="3">
        <v>99874.01</v>
      </c>
      <c r="F55" s="3">
        <v>5887</v>
      </c>
      <c r="G55" s="3">
        <v>0.26200000000000001</v>
      </c>
      <c r="H55" s="3">
        <v>14</v>
      </c>
      <c r="I55" s="3">
        <v>88.7</v>
      </c>
      <c r="J55" s="3">
        <v>6.18</v>
      </c>
      <c r="K55" s="3">
        <v>0</v>
      </c>
      <c r="L55" s="3">
        <v>4.7</v>
      </c>
      <c r="M55" s="3">
        <v>746677.75</v>
      </c>
      <c r="N55" s="3">
        <v>122437.84</v>
      </c>
    </row>
    <row r="56" spans="1:14">
      <c r="A56" s="3" t="s">
        <v>45</v>
      </c>
      <c r="B56" s="4">
        <v>45717</v>
      </c>
      <c r="C56" s="3" t="s">
        <v>10</v>
      </c>
      <c r="D56" s="3" t="s">
        <v>30</v>
      </c>
      <c r="E56" s="3">
        <v>81195.5</v>
      </c>
      <c r="F56" s="3">
        <v>5516</v>
      </c>
      <c r="G56" s="3">
        <v>0.106</v>
      </c>
      <c r="H56" s="3">
        <v>14</v>
      </c>
      <c r="I56" s="3">
        <v>88</v>
      </c>
      <c r="J56" s="3">
        <v>1.76</v>
      </c>
      <c r="K56" s="3">
        <v>0</v>
      </c>
      <c r="L56" s="3">
        <v>4.3</v>
      </c>
      <c r="M56" s="3">
        <v>720852.5</v>
      </c>
      <c r="N56" s="3">
        <v>98565.62</v>
      </c>
    </row>
    <row r="57" spans="1:14">
      <c r="A57" s="3" t="s">
        <v>45</v>
      </c>
      <c r="B57" s="4">
        <v>45748</v>
      </c>
      <c r="C57" s="3" t="s">
        <v>10</v>
      </c>
      <c r="D57" s="3" t="s">
        <v>30</v>
      </c>
      <c r="E57" s="3">
        <v>27808.6</v>
      </c>
      <c r="F57" s="3">
        <v>2863</v>
      </c>
      <c r="G57" s="3">
        <v>0.08</v>
      </c>
      <c r="H57" s="3">
        <v>13</v>
      </c>
      <c r="I57" s="3">
        <v>89.3</v>
      </c>
      <c r="J57" s="3">
        <v>0.47</v>
      </c>
      <c r="K57" s="3">
        <v>0</v>
      </c>
      <c r="L57" s="3">
        <v>4.0999999999999996</v>
      </c>
      <c r="M57" s="3">
        <v>487464.91</v>
      </c>
      <c r="N57" s="3">
        <v>64562.26</v>
      </c>
    </row>
    <row r="58" spans="1:14">
      <c r="A58" s="3" t="s">
        <v>46</v>
      </c>
      <c r="B58" s="4">
        <v>45658</v>
      </c>
      <c r="C58" s="3" t="s">
        <v>8</v>
      </c>
      <c r="D58" s="3" t="s">
        <v>33</v>
      </c>
      <c r="E58" s="3">
        <v>19365.060000000001</v>
      </c>
      <c r="F58" s="3">
        <v>2378</v>
      </c>
      <c r="G58" s="3">
        <v>0</v>
      </c>
      <c r="H58" s="3">
        <v>12</v>
      </c>
      <c r="I58" s="3">
        <v>94.8</v>
      </c>
      <c r="J58" s="3">
        <v>0.2</v>
      </c>
      <c r="K58" s="3">
        <v>0</v>
      </c>
      <c r="L58" s="3">
        <v>3.5</v>
      </c>
      <c r="M58" s="3">
        <v>518049.26</v>
      </c>
      <c r="N58" s="3">
        <v>108592.49</v>
      </c>
    </row>
    <row r="59" spans="1:14">
      <c r="A59" s="3" t="s">
        <v>46</v>
      </c>
      <c r="B59" s="4">
        <v>45689</v>
      </c>
      <c r="C59" s="3" t="s">
        <v>8</v>
      </c>
      <c r="D59" s="3" t="s">
        <v>33</v>
      </c>
      <c r="E59" s="3">
        <v>59405.68</v>
      </c>
      <c r="F59" s="3">
        <v>2515</v>
      </c>
      <c r="G59" s="3">
        <v>3.9E-2</v>
      </c>
      <c r="H59" s="3">
        <v>12</v>
      </c>
      <c r="I59" s="3">
        <v>76</v>
      </c>
      <c r="J59" s="3">
        <v>5.1100000000000003</v>
      </c>
      <c r="K59" s="3">
        <v>0</v>
      </c>
      <c r="L59" s="3">
        <v>3.7</v>
      </c>
      <c r="M59" s="3">
        <v>500298.48</v>
      </c>
      <c r="N59" s="3">
        <v>73461.320000000007</v>
      </c>
    </row>
    <row r="60" spans="1:14">
      <c r="A60" s="3" t="s">
        <v>46</v>
      </c>
      <c r="B60" s="4">
        <v>45717</v>
      </c>
      <c r="C60" s="3" t="s">
        <v>8</v>
      </c>
      <c r="D60" s="3" t="s">
        <v>33</v>
      </c>
      <c r="E60" s="3">
        <v>118910.48</v>
      </c>
      <c r="F60" s="3">
        <v>4022</v>
      </c>
      <c r="G60" s="3">
        <v>0.13700000000000001</v>
      </c>
      <c r="H60" s="3">
        <v>11</v>
      </c>
      <c r="I60" s="3">
        <v>87.1</v>
      </c>
      <c r="J60" s="3">
        <v>0.2</v>
      </c>
      <c r="K60" s="3">
        <v>0</v>
      </c>
      <c r="L60" s="3">
        <v>3.1</v>
      </c>
      <c r="M60" s="3">
        <v>617291.15</v>
      </c>
      <c r="N60" s="3">
        <v>117782</v>
      </c>
    </row>
    <row r="61" spans="1:14">
      <c r="A61" s="3" t="s">
        <v>46</v>
      </c>
      <c r="B61" s="4">
        <v>45748</v>
      </c>
      <c r="C61" s="3" t="s">
        <v>8</v>
      </c>
      <c r="D61" s="3" t="s">
        <v>33</v>
      </c>
      <c r="E61" s="3">
        <v>52952.12</v>
      </c>
      <c r="F61" s="3">
        <v>4377</v>
      </c>
      <c r="G61" s="3">
        <v>9.1999999999999998E-2</v>
      </c>
      <c r="H61" s="3">
        <v>14</v>
      </c>
      <c r="I61" s="3">
        <v>88.6</v>
      </c>
      <c r="J61" s="3">
        <v>13.59</v>
      </c>
      <c r="K61" s="3">
        <v>0</v>
      </c>
      <c r="L61" s="3">
        <v>3.1</v>
      </c>
      <c r="M61" s="3">
        <v>553756.43000000005</v>
      </c>
      <c r="N61" s="3">
        <v>86166.77</v>
      </c>
    </row>
    <row r="62" spans="1:14">
      <c r="A62" s="3" t="s">
        <v>47</v>
      </c>
      <c r="B62" s="4">
        <v>45658</v>
      </c>
      <c r="C62" s="3" t="s">
        <v>9</v>
      </c>
      <c r="D62" s="3" t="s">
        <v>30</v>
      </c>
      <c r="E62" s="3">
        <v>74907.98</v>
      </c>
      <c r="F62" s="3">
        <v>5306</v>
      </c>
      <c r="G62" s="3">
        <v>6.2E-2</v>
      </c>
      <c r="H62" s="3">
        <v>16</v>
      </c>
      <c r="I62" s="3">
        <v>95.6</v>
      </c>
      <c r="J62" s="3">
        <v>1.02</v>
      </c>
      <c r="K62" s="3">
        <v>0</v>
      </c>
      <c r="L62" s="3">
        <v>3.7</v>
      </c>
      <c r="M62" s="3">
        <v>749559.71</v>
      </c>
      <c r="N62" s="3">
        <v>144522.53</v>
      </c>
    </row>
    <row r="63" spans="1:14">
      <c r="A63" s="3" t="s">
        <v>47</v>
      </c>
      <c r="B63" s="4">
        <v>45689</v>
      </c>
      <c r="C63" s="3" t="s">
        <v>9</v>
      </c>
      <c r="D63" s="3" t="s">
        <v>30</v>
      </c>
      <c r="E63" s="3">
        <v>37284.660000000003</v>
      </c>
      <c r="F63" s="3">
        <v>3928</v>
      </c>
      <c r="G63" s="3">
        <v>7.3999999999999996E-2</v>
      </c>
      <c r="H63" s="3">
        <v>12</v>
      </c>
      <c r="I63" s="3">
        <v>86.5</v>
      </c>
      <c r="J63" s="3">
        <v>1.64</v>
      </c>
      <c r="K63" s="3">
        <v>0</v>
      </c>
      <c r="L63" s="3">
        <v>3.8</v>
      </c>
      <c r="M63" s="3">
        <v>615966.48</v>
      </c>
      <c r="N63" s="3">
        <v>91509.38</v>
      </c>
    </row>
    <row r="64" spans="1:14">
      <c r="A64" s="3" t="s">
        <v>47</v>
      </c>
      <c r="B64" s="4">
        <v>45717</v>
      </c>
      <c r="C64" s="3" t="s">
        <v>9</v>
      </c>
      <c r="D64" s="3" t="s">
        <v>30</v>
      </c>
      <c r="E64" s="3">
        <v>50343.19</v>
      </c>
      <c r="F64" s="3">
        <v>3845</v>
      </c>
      <c r="G64" s="3">
        <v>0.113</v>
      </c>
      <c r="H64" s="3">
        <v>9</v>
      </c>
      <c r="I64" s="3">
        <v>88.7</v>
      </c>
      <c r="J64" s="3">
        <v>5.15</v>
      </c>
      <c r="K64" s="3">
        <v>0</v>
      </c>
      <c r="L64" s="3">
        <v>3.3</v>
      </c>
      <c r="M64" s="3">
        <v>572011.19999999995</v>
      </c>
      <c r="N64" s="3">
        <v>101409.68</v>
      </c>
    </row>
    <row r="65" spans="1:14">
      <c r="A65" s="3" t="s">
        <v>47</v>
      </c>
      <c r="B65" s="4">
        <v>45748</v>
      </c>
      <c r="C65" s="3" t="s">
        <v>9</v>
      </c>
      <c r="D65" s="3" t="s">
        <v>30</v>
      </c>
      <c r="E65" s="3">
        <v>74954.47</v>
      </c>
      <c r="F65" s="3">
        <v>6620</v>
      </c>
      <c r="G65" s="3">
        <v>5.3999999999999999E-2</v>
      </c>
      <c r="H65" s="3">
        <v>17</v>
      </c>
      <c r="I65" s="3">
        <v>91.1</v>
      </c>
      <c r="J65" s="3">
        <v>1.1100000000000001</v>
      </c>
      <c r="K65" s="3">
        <v>0</v>
      </c>
      <c r="L65" s="3">
        <v>3.5</v>
      </c>
      <c r="M65" s="3">
        <v>761860.19</v>
      </c>
      <c r="N65" s="3">
        <v>133279.38</v>
      </c>
    </row>
    <row r="66" spans="1:14">
      <c r="A66" s="3" t="s">
        <v>48</v>
      </c>
      <c r="B66" s="4">
        <v>45658</v>
      </c>
      <c r="C66" s="3" t="s">
        <v>10</v>
      </c>
      <c r="D66" s="3" t="s">
        <v>30</v>
      </c>
      <c r="E66" s="3">
        <v>70040.31</v>
      </c>
      <c r="F66" s="3">
        <v>9175</v>
      </c>
      <c r="G66" s="3">
        <v>0.107</v>
      </c>
      <c r="H66" s="3">
        <v>23</v>
      </c>
      <c r="I66" s="3">
        <v>95.1</v>
      </c>
      <c r="J66" s="3">
        <v>6.08</v>
      </c>
      <c r="K66" s="3">
        <v>1</v>
      </c>
      <c r="L66" s="3">
        <v>3.4</v>
      </c>
      <c r="M66" s="3">
        <v>784502.68</v>
      </c>
      <c r="N66" s="3">
        <v>129519.72</v>
      </c>
    </row>
    <row r="67" spans="1:14">
      <c r="A67" s="3" t="s">
        <v>48</v>
      </c>
      <c r="B67" s="4">
        <v>45689</v>
      </c>
      <c r="C67" s="3" t="s">
        <v>10</v>
      </c>
      <c r="D67" s="3" t="s">
        <v>30</v>
      </c>
      <c r="E67" s="3">
        <v>51148.69</v>
      </c>
      <c r="F67" s="3">
        <v>7940</v>
      </c>
      <c r="G67" s="3">
        <v>0.156</v>
      </c>
      <c r="H67" s="3">
        <v>18</v>
      </c>
      <c r="I67" s="3">
        <v>93.3</v>
      </c>
      <c r="J67" s="3">
        <v>10.91</v>
      </c>
      <c r="K67" s="3">
        <v>0</v>
      </c>
      <c r="L67" s="3">
        <v>3.6</v>
      </c>
      <c r="M67" s="3">
        <v>717141.55</v>
      </c>
      <c r="N67" s="3">
        <v>134013.60999999999</v>
      </c>
    </row>
    <row r="68" spans="1:14">
      <c r="A68" s="3" t="s">
        <v>48</v>
      </c>
      <c r="B68" s="4">
        <v>45717</v>
      </c>
      <c r="C68" s="3" t="s">
        <v>10</v>
      </c>
      <c r="D68" s="3" t="s">
        <v>30</v>
      </c>
      <c r="E68" s="3">
        <v>79346.100000000006</v>
      </c>
      <c r="F68" s="3">
        <v>9628</v>
      </c>
      <c r="G68" s="3">
        <v>0.10199999999999999</v>
      </c>
      <c r="H68" s="3">
        <v>20</v>
      </c>
      <c r="I68" s="3">
        <v>99</v>
      </c>
      <c r="J68" s="3">
        <v>19.010000000000002</v>
      </c>
      <c r="K68" s="3">
        <v>1</v>
      </c>
      <c r="L68" s="3">
        <v>3.2</v>
      </c>
      <c r="M68" s="3">
        <v>685379.08</v>
      </c>
      <c r="N68" s="3">
        <v>106898.82</v>
      </c>
    </row>
    <row r="69" spans="1:14">
      <c r="A69" s="3" t="s">
        <v>48</v>
      </c>
      <c r="B69" s="4">
        <v>45748</v>
      </c>
      <c r="C69" s="3" t="s">
        <v>10</v>
      </c>
      <c r="D69" s="3" t="s">
        <v>30</v>
      </c>
      <c r="E69" s="3">
        <v>42018.400000000001</v>
      </c>
      <c r="F69" s="3">
        <v>8296</v>
      </c>
      <c r="G69" s="3">
        <v>0.115</v>
      </c>
      <c r="H69" s="3">
        <v>17</v>
      </c>
      <c r="I69" s="3">
        <v>91.8</v>
      </c>
      <c r="J69" s="3">
        <v>0.77</v>
      </c>
      <c r="K69" s="3">
        <v>0</v>
      </c>
      <c r="L69" s="3">
        <v>3.4</v>
      </c>
      <c r="M69" s="3">
        <v>740496.65</v>
      </c>
      <c r="N69" s="3">
        <v>128020.9</v>
      </c>
    </row>
    <row r="70" spans="1:14">
      <c r="A70" s="3" t="s">
        <v>49</v>
      </c>
      <c r="B70" s="4">
        <v>45658</v>
      </c>
      <c r="C70" s="3" t="s">
        <v>8</v>
      </c>
      <c r="D70" s="3" t="s">
        <v>30</v>
      </c>
      <c r="E70" s="3">
        <v>70937.240000000005</v>
      </c>
      <c r="F70" s="3">
        <v>3595</v>
      </c>
      <c r="G70" s="3">
        <v>0.14099999999999999</v>
      </c>
      <c r="H70" s="3">
        <v>11</v>
      </c>
      <c r="I70" s="3">
        <v>88.9</v>
      </c>
      <c r="J70" s="3">
        <v>2.83</v>
      </c>
      <c r="K70" s="3">
        <v>1</v>
      </c>
      <c r="L70" s="3">
        <v>3.3</v>
      </c>
      <c r="M70" s="3">
        <v>661927.14</v>
      </c>
      <c r="N70" s="3">
        <v>79218.570000000007</v>
      </c>
    </row>
    <row r="71" spans="1:14">
      <c r="A71" s="3" t="s">
        <v>49</v>
      </c>
      <c r="B71" s="4">
        <v>45689</v>
      </c>
      <c r="C71" s="3" t="s">
        <v>8</v>
      </c>
      <c r="D71" s="3" t="s">
        <v>30</v>
      </c>
      <c r="E71" s="3">
        <v>36813.449999999997</v>
      </c>
      <c r="F71" s="3">
        <v>2834</v>
      </c>
      <c r="G71" s="3">
        <v>0.191</v>
      </c>
      <c r="H71" s="3">
        <v>11</v>
      </c>
      <c r="I71" s="3">
        <v>81.8</v>
      </c>
      <c r="J71" s="3">
        <v>2.33</v>
      </c>
      <c r="K71" s="3">
        <v>0</v>
      </c>
      <c r="L71" s="3">
        <v>3.3</v>
      </c>
      <c r="M71" s="3">
        <v>479050.5</v>
      </c>
      <c r="N71" s="3">
        <v>53651.11</v>
      </c>
    </row>
    <row r="72" spans="1:14">
      <c r="A72" s="3" t="s">
        <v>49</v>
      </c>
      <c r="B72" s="4">
        <v>45717</v>
      </c>
      <c r="C72" s="3" t="s">
        <v>8</v>
      </c>
      <c r="D72" s="3" t="s">
        <v>30</v>
      </c>
      <c r="E72" s="3">
        <v>60571.82</v>
      </c>
      <c r="F72" s="3">
        <v>3193</v>
      </c>
      <c r="G72" s="3">
        <v>0.19700000000000001</v>
      </c>
      <c r="H72" s="3">
        <v>7</v>
      </c>
      <c r="I72" s="3">
        <v>99</v>
      </c>
      <c r="J72" s="3">
        <v>1.43</v>
      </c>
      <c r="K72" s="3">
        <v>0</v>
      </c>
      <c r="L72" s="3">
        <v>3.2</v>
      </c>
      <c r="M72" s="3">
        <v>605023.87</v>
      </c>
      <c r="N72" s="3">
        <v>98545.81</v>
      </c>
    </row>
    <row r="73" spans="1:14">
      <c r="A73" s="3" t="s">
        <v>49</v>
      </c>
      <c r="B73" s="4">
        <v>45748</v>
      </c>
      <c r="C73" s="3" t="s">
        <v>8</v>
      </c>
      <c r="D73" s="3" t="s">
        <v>30</v>
      </c>
      <c r="E73" s="3">
        <v>55081.16</v>
      </c>
      <c r="F73" s="3">
        <v>5485</v>
      </c>
      <c r="G73" s="3">
        <v>3.5999999999999997E-2</v>
      </c>
      <c r="H73" s="3">
        <v>12</v>
      </c>
      <c r="I73" s="3">
        <v>88</v>
      </c>
      <c r="J73" s="3"/>
      <c r="K73" s="3">
        <v>0</v>
      </c>
      <c r="L73" s="3">
        <v>3.5</v>
      </c>
      <c r="M73" s="3">
        <v>674774.09</v>
      </c>
      <c r="N73" s="3">
        <v>141917.59</v>
      </c>
    </row>
    <row r="74" spans="1:14">
      <c r="A74" s="3" t="s">
        <v>50</v>
      </c>
      <c r="B74" s="4">
        <v>45658</v>
      </c>
      <c r="C74" s="3" t="s">
        <v>8</v>
      </c>
      <c r="D74" s="3" t="s">
        <v>28</v>
      </c>
      <c r="E74" s="3">
        <v>46201.46</v>
      </c>
      <c r="F74" s="3">
        <v>5918</v>
      </c>
      <c r="G74" s="3">
        <v>0.27700000000000002</v>
      </c>
      <c r="H74" s="3">
        <v>13</v>
      </c>
      <c r="I74" s="3">
        <v>78.8</v>
      </c>
      <c r="J74" s="3">
        <v>4.91</v>
      </c>
      <c r="K74" s="3">
        <v>0</v>
      </c>
      <c r="L74" s="3">
        <v>4.5</v>
      </c>
      <c r="M74" s="3">
        <v>616069.41</v>
      </c>
      <c r="N74" s="3">
        <v>54453.99</v>
      </c>
    </row>
    <row r="75" spans="1:14">
      <c r="A75" s="3" t="s">
        <v>50</v>
      </c>
      <c r="B75" s="4">
        <v>45689</v>
      </c>
      <c r="C75" s="3" t="s">
        <v>8</v>
      </c>
      <c r="D75" s="3" t="s">
        <v>28</v>
      </c>
      <c r="E75" s="3">
        <v>53762.92</v>
      </c>
      <c r="F75" s="3">
        <v>6821</v>
      </c>
      <c r="G75" s="3">
        <v>6.6000000000000003E-2</v>
      </c>
      <c r="H75" s="3">
        <v>19</v>
      </c>
      <c r="I75" s="3">
        <v>94.6</v>
      </c>
      <c r="J75" s="3">
        <v>7.03</v>
      </c>
      <c r="K75" s="3">
        <v>0</v>
      </c>
      <c r="L75" s="3">
        <v>4.4000000000000004</v>
      </c>
      <c r="M75" s="3">
        <v>630829.93999999994</v>
      </c>
      <c r="N75" s="3">
        <v>117090.02</v>
      </c>
    </row>
    <row r="76" spans="1:14">
      <c r="A76" s="3" t="s">
        <v>50</v>
      </c>
      <c r="B76" s="4">
        <v>45717</v>
      </c>
      <c r="C76" s="3" t="s">
        <v>8</v>
      </c>
      <c r="D76" s="3" t="s">
        <v>28</v>
      </c>
      <c r="E76" s="3">
        <v>70144.78</v>
      </c>
      <c r="F76" s="3">
        <v>6806</v>
      </c>
      <c r="G76" s="3">
        <v>0.17799999999999999</v>
      </c>
      <c r="H76" s="3">
        <v>20</v>
      </c>
      <c r="I76" s="3">
        <v>93.1</v>
      </c>
      <c r="J76" s="3">
        <v>0.28000000000000003</v>
      </c>
      <c r="K76" s="3">
        <v>1</v>
      </c>
      <c r="L76" s="3">
        <v>4.3</v>
      </c>
      <c r="M76" s="3">
        <v>788087.68</v>
      </c>
      <c r="N76" s="3">
        <v>116803.42</v>
      </c>
    </row>
    <row r="77" spans="1:14">
      <c r="A77" s="3" t="s">
        <v>50</v>
      </c>
      <c r="B77" s="4">
        <v>45748</v>
      </c>
      <c r="C77" s="3" t="s">
        <v>8</v>
      </c>
      <c r="D77" s="3" t="s">
        <v>28</v>
      </c>
      <c r="E77" s="3">
        <v>58749.63</v>
      </c>
      <c r="F77" s="3">
        <v>8252</v>
      </c>
      <c r="G77" s="3">
        <v>0.20300000000000001</v>
      </c>
      <c r="H77" s="3">
        <v>20</v>
      </c>
      <c r="I77" s="3">
        <v>85.2</v>
      </c>
      <c r="J77" s="3">
        <v>3.61</v>
      </c>
      <c r="K77" s="3">
        <v>0</v>
      </c>
      <c r="L77" s="3">
        <v>4.5</v>
      </c>
      <c r="M77" s="3">
        <v>680840.36</v>
      </c>
      <c r="N77" s="3">
        <v>68007.679999999993</v>
      </c>
    </row>
    <row r="78" spans="1:14">
      <c r="A78" s="3" t="s">
        <v>51</v>
      </c>
      <c r="B78" s="4">
        <v>45658</v>
      </c>
      <c r="C78" s="3" t="s">
        <v>9</v>
      </c>
      <c r="D78" s="3" t="s">
        <v>30</v>
      </c>
      <c r="E78" s="3">
        <v>56973.18</v>
      </c>
      <c r="F78" s="3">
        <v>6662</v>
      </c>
      <c r="G78" s="3">
        <v>0.1</v>
      </c>
      <c r="H78" s="3">
        <v>15</v>
      </c>
      <c r="I78" s="3">
        <v>77.7</v>
      </c>
      <c r="J78" s="3">
        <v>7.52</v>
      </c>
      <c r="K78" s="3">
        <v>1</v>
      </c>
      <c r="L78" s="3">
        <v>3.2</v>
      </c>
      <c r="M78" s="3">
        <v>643657.47</v>
      </c>
      <c r="N78" s="3">
        <v>87022.45</v>
      </c>
    </row>
    <row r="79" spans="1:14">
      <c r="A79" s="3" t="s">
        <v>51</v>
      </c>
      <c r="B79" s="4">
        <v>45689</v>
      </c>
      <c r="C79" s="3" t="s">
        <v>9</v>
      </c>
      <c r="D79" s="3" t="s">
        <v>30</v>
      </c>
      <c r="E79" s="3">
        <v>54872.82</v>
      </c>
      <c r="F79" s="3">
        <v>5962</v>
      </c>
      <c r="G79" s="3">
        <v>6.4000000000000001E-2</v>
      </c>
      <c r="H79" s="3">
        <v>12</v>
      </c>
      <c r="I79" s="3">
        <v>85.4</v>
      </c>
      <c r="J79" s="3">
        <v>2.58</v>
      </c>
      <c r="K79" s="3">
        <v>0</v>
      </c>
      <c r="L79" s="3">
        <v>2.9</v>
      </c>
      <c r="M79" s="3">
        <v>691112.6</v>
      </c>
      <c r="N79" s="3">
        <v>109212.83</v>
      </c>
    </row>
    <row r="80" spans="1:14">
      <c r="A80" s="3" t="s">
        <v>51</v>
      </c>
      <c r="B80" s="4">
        <v>45717</v>
      </c>
      <c r="C80" s="3" t="s">
        <v>9</v>
      </c>
      <c r="D80" s="3" t="s">
        <v>30</v>
      </c>
      <c r="E80" s="3">
        <v>80562.81</v>
      </c>
      <c r="F80" s="3">
        <v>7470</v>
      </c>
      <c r="G80" s="3">
        <v>0.17199999999999999</v>
      </c>
      <c r="H80" s="3">
        <v>16</v>
      </c>
      <c r="I80" s="3">
        <v>83.5</v>
      </c>
      <c r="J80" s="3">
        <v>2.29</v>
      </c>
      <c r="K80" s="3">
        <v>0</v>
      </c>
      <c r="L80" s="3">
        <v>3.3</v>
      </c>
      <c r="M80" s="3">
        <v>776922.17</v>
      </c>
      <c r="N80" s="3">
        <v>150701.93</v>
      </c>
    </row>
    <row r="81" spans="1:14">
      <c r="A81" s="3" t="s">
        <v>51</v>
      </c>
      <c r="B81" s="4">
        <v>45748</v>
      </c>
      <c r="C81" s="3" t="s">
        <v>9</v>
      </c>
      <c r="D81" s="3" t="s">
        <v>30</v>
      </c>
      <c r="E81" s="3">
        <v>77999.899999999994</v>
      </c>
      <c r="F81" s="3">
        <v>5974</v>
      </c>
      <c r="G81" s="3">
        <v>0.252</v>
      </c>
      <c r="H81" s="3">
        <v>14</v>
      </c>
      <c r="I81" s="3">
        <v>81.3</v>
      </c>
      <c r="J81" s="3">
        <v>2.39</v>
      </c>
      <c r="K81" s="3">
        <v>0</v>
      </c>
      <c r="L81" s="3">
        <v>3.2</v>
      </c>
      <c r="M81" s="3">
        <v>636561.34</v>
      </c>
      <c r="N81" s="3">
        <v>93861.06</v>
      </c>
    </row>
    <row r="82" spans="1:14">
      <c r="A82" s="3" t="s">
        <v>52</v>
      </c>
      <c r="B82" s="4">
        <v>45658</v>
      </c>
      <c r="C82" s="3" t="s">
        <v>10</v>
      </c>
      <c r="D82" s="3" t="s">
        <v>38</v>
      </c>
      <c r="E82" s="3">
        <v>60881.01</v>
      </c>
      <c r="F82" s="3">
        <v>5410</v>
      </c>
      <c r="G82" s="3">
        <v>0.17899999999999999</v>
      </c>
      <c r="H82" s="3">
        <v>15</v>
      </c>
      <c r="I82" s="3">
        <v>83.9</v>
      </c>
      <c r="J82" s="3">
        <v>5.24</v>
      </c>
      <c r="K82" s="3">
        <v>0</v>
      </c>
      <c r="L82" s="3">
        <v>4.5999999999999996</v>
      </c>
      <c r="M82" s="3">
        <v>621369.57999999996</v>
      </c>
      <c r="N82" s="3">
        <v>85493.64</v>
      </c>
    </row>
    <row r="83" spans="1:14">
      <c r="A83" s="3" t="s">
        <v>52</v>
      </c>
      <c r="B83" s="4">
        <v>45689</v>
      </c>
      <c r="C83" s="3" t="s">
        <v>10</v>
      </c>
      <c r="D83" s="3" t="s">
        <v>38</v>
      </c>
      <c r="E83" s="3">
        <v>60628.38</v>
      </c>
      <c r="F83" s="3">
        <v>4451</v>
      </c>
      <c r="G83" s="3">
        <v>9.5000000000000001E-2</v>
      </c>
      <c r="H83" s="3">
        <v>10</v>
      </c>
      <c r="I83" s="3">
        <v>89.6</v>
      </c>
      <c r="J83" s="3">
        <v>3.17</v>
      </c>
      <c r="K83" s="3">
        <v>0</v>
      </c>
      <c r="L83" s="3">
        <v>4.5999999999999996</v>
      </c>
      <c r="M83" s="3">
        <v>682208.01</v>
      </c>
      <c r="N83" s="3">
        <v>110318.84</v>
      </c>
    </row>
    <row r="84" spans="1:14">
      <c r="A84" s="3" t="s">
        <v>52</v>
      </c>
      <c r="B84" s="4">
        <v>45717</v>
      </c>
      <c r="C84" s="3" t="s">
        <v>10</v>
      </c>
      <c r="D84" s="3" t="s">
        <v>38</v>
      </c>
      <c r="E84" s="3">
        <v>72731.14</v>
      </c>
      <c r="F84" s="3">
        <v>4644</v>
      </c>
      <c r="G84" s="3">
        <v>8.4000000000000005E-2</v>
      </c>
      <c r="H84" s="3">
        <v>15</v>
      </c>
      <c r="I84" s="3">
        <v>87.1</v>
      </c>
      <c r="J84" s="3">
        <v>2.66</v>
      </c>
      <c r="K84" s="3">
        <v>0</v>
      </c>
      <c r="L84" s="3">
        <v>4.5999999999999996</v>
      </c>
      <c r="M84" s="3">
        <v>727241.86</v>
      </c>
      <c r="N84" s="3">
        <v>155810.29999999999</v>
      </c>
    </row>
    <row r="85" spans="1:14">
      <c r="A85" s="3" t="s">
        <v>52</v>
      </c>
      <c r="B85" s="4">
        <v>45748</v>
      </c>
      <c r="C85" s="3" t="s">
        <v>10</v>
      </c>
      <c r="D85" s="3" t="s">
        <v>38</v>
      </c>
      <c r="E85" s="3">
        <v>36475.71</v>
      </c>
      <c r="F85" s="3">
        <v>3559</v>
      </c>
      <c r="G85" s="3">
        <v>0.03</v>
      </c>
      <c r="H85" s="3">
        <v>8</v>
      </c>
      <c r="I85" s="3">
        <v>83.6</v>
      </c>
      <c r="J85" s="3">
        <v>1.41</v>
      </c>
      <c r="K85" s="3">
        <v>0</v>
      </c>
      <c r="L85" s="3">
        <v>4.2</v>
      </c>
      <c r="M85" s="3">
        <v>569100.78</v>
      </c>
      <c r="N85" s="3">
        <v>104808.78</v>
      </c>
    </row>
    <row r="86" spans="1:14">
      <c r="A86" s="3" t="s">
        <v>53</v>
      </c>
      <c r="B86" s="4">
        <v>45658</v>
      </c>
      <c r="C86" s="3" t="s">
        <v>10</v>
      </c>
      <c r="D86" s="3" t="s">
        <v>30</v>
      </c>
      <c r="E86" s="3">
        <v>55388.11</v>
      </c>
      <c r="F86" s="3">
        <v>3091</v>
      </c>
      <c r="G86" s="3">
        <v>0.108</v>
      </c>
      <c r="H86" s="3">
        <v>7</v>
      </c>
      <c r="I86" s="3">
        <v>85.4</v>
      </c>
      <c r="J86" s="3">
        <v>7.34</v>
      </c>
      <c r="K86" s="3">
        <v>0</v>
      </c>
      <c r="L86" s="3">
        <v>4.9000000000000004</v>
      </c>
      <c r="M86" s="3">
        <v>574436.29</v>
      </c>
      <c r="N86" s="3">
        <v>80271.990000000005</v>
      </c>
    </row>
    <row r="87" spans="1:14">
      <c r="A87" s="3" t="s">
        <v>53</v>
      </c>
      <c r="B87" s="4">
        <v>45689</v>
      </c>
      <c r="C87" s="3" t="s">
        <v>10</v>
      </c>
      <c r="D87" s="3" t="s">
        <v>30</v>
      </c>
      <c r="E87" s="3">
        <v>88443.77</v>
      </c>
      <c r="F87" s="3">
        <v>4004</v>
      </c>
      <c r="G87" s="3">
        <v>0.20599999999999999</v>
      </c>
      <c r="H87" s="3">
        <v>11</v>
      </c>
      <c r="I87" s="3">
        <v>91.9</v>
      </c>
      <c r="J87" s="3">
        <v>5.95</v>
      </c>
      <c r="K87" s="3">
        <v>0</v>
      </c>
      <c r="L87" s="3"/>
      <c r="M87" s="3">
        <v>611766.72</v>
      </c>
      <c r="N87" s="3">
        <v>88275.61</v>
      </c>
    </row>
    <row r="88" spans="1:14">
      <c r="A88" s="3" t="s">
        <v>53</v>
      </c>
      <c r="B88" s="4">
        <v>45717</v>
      </c>
      <c r="C88" s="3" t="s">
        <v>10</v>
      </c>
      <c r="D88" s="3" t="s">
        <v>30</v>
      </c>
      <c r="E88" s="3">
        <v>78231.91</v>
      </c>
      <c r="F88" s="3">
        <v>3788</v>
      </c>
      <c r="G88" s="3">
        <v>5.8999999999999997E-2</v>
      </c>
      <c r="H88" s="3">
        <v>11</v>
      </c>
      <c r="I88" s="3">
        <v>88.5</v>
      </c>
      <c r="J88" s="3">
        <v>15.51</v>
      </c>
      <c r="K88" s="3">
        <v>0</v>
      </c>
      <c r="L88" s="3">
        <v>4.3</v>
      </c>
      <c r="M88" s="3">
        <v>614596.31999999995</v>
      </c>
      <c r="N88" s="3">
        <v>131199.41</v>
      </c>
    </row>
    <row r="89" spans="1:14">
      <c r="A89" s="3" t="s">
        <v>53</v>
      </c>
      <c r="B89" s="4">
        <v>45748</v>
      </c>
      <c r="C89" s="3" t="s">
        <v>10</v>
      </c>
      <c r="D89" s="3" t="s">
        <v>30</v>
      </c>
      <c r="E89" s="3">
        <v>18996.32</v>
      </c>
      <c r="F89" s="3">
        <v>1260</v>
      </c>
      <c r="G89" s="3">
        <v>0.14499999999999999</v>
      </c>
      <c r="H89" s="3">
        <v>9</v>
      </c>
      <c r="I89" s="3">
        <v>86.4</v>
      </c>
      <c r="J89" s="3">
        <v>4.3099999999999996</v>
      </c>
      <c r="K89" s="3">
        <v>0</v>
      </c>
      <c r="L89" s="3">
        <v>4.5999999999999996</v>
      </c>
      <c r="M89" s="3">
        <v>450711.92</v>
      </c>
      <c r="N89" s="3">
        <v>90043.76</v>
      </c>
    </row>
    <row r="90" spans="1:14">
      <c r="A90" s="3" t="s">
        <v>54</v>
      </c>
      <c r="B90" s="4">
        <v>45658</v>
      </c>
      <c r="C90" s="3" t="s">
        <v>9</v>
      </c>
      <c r="D90" s="3" t="s">
        <v>38</v>
      </c>
      <c r="E90" s="3">
        <v>50517.94</v>
      </c>
      <c r="F90" s="3">
        <v>7024</v>
      </c>
      <c r="G90" s="3">
        <v>2.9000000000000001E-2</v>
      </c>
      <c r="H90" s="3">
        <v>18</v>
      </c>
      <c r="I90" s="3">
        <v>79.2</v>
      </c>
      <c r="J90" s="3">
        <v>6.61</v>
      </c>
      <c r="K90" s="3">
        <v>1</v>
      </c>
      <c r="L90" s="3">
        <v>4.0999999999999996</v>
      </c>
      <c r="M90" s="3">
        <v>711213.46</v>
      </c>
      <c r="N90" s="3">
        <v>105863.26</v>
      </c>
    </row>
    <row r="91" spans="1:14">
      <c r="A91" s="3" t="s">
        <v>54</v>
      </c>
      <c r="B91" s="4">
        <v>45689</v>
      </c>
      <c r="C91" s="3" t="s">
        <v>9</v>
      </c>
      <c r="D91" s="3" t="s">
        <v>38</v>
      </c>
      <c r="E91" s="3">
        <v>141540.29</v>
      </c>
      <c r="F91" s="3">
        <v>5400</v>
      </c>
      <c r="G91" s="3">
        <v>1.2999999999999999E-2</v>
      </c>
      <c r="H91" s="3">
        <v>12</v>
      </c>
      <c r="I91" s="3">
        <v>87</v>
      </c>
      <c r="J91" s="3">
        <v>4.26</v>
      </c>
      <c r="K91" s="3">
        <v>0</v>
      </c>
      <c r="L91" s="3">
        <v>4.5</v>
      </c>
      <c r="M91" s="3">
        <v>627171.9</v>
      </c>
      <c r="N91" s="3">
        <v>105772.75</v>
      </c>
    </row>
    <row r="92" spans="1:14">
      <c r="A92" s="3" t="s">
        <v>54</v>
      </c>
      <c r="B92" s="4">
        <v>45717</v>
      </c>
      <c r="C92" s="3" t="s">
        <v>9</v>
      </c>
      <c r="D92" s="3" t="s">
        <v>38</v>
      </c>
      <c r="E92" s="3">
        <v>82116.19</v>
      </c>
      <c r="F92" s="3">
        <v>5988</v>
      </c>
      <c r="G92" s="3">
        <v>0.04</v>
      </c>
      <c r="H92" s="3">
        <v>17</v>
      </c>
      <c r="I92" s="3">
        <v>91.8</v>
      </c>
      <c r="J92" s="3">
        <v>5.75</v>
      </c>
      <c r="K92" s="3">
        <v>0</v>
      </c>
      <c r="L92" s="3">
        <v>4.7</v>
      </c>
      <c r="M92" s="3">
        <v>739852.58</v>
      </c>
      <c r="N92" s="3">
        <v>129386.43</v>
      </c>
    </row>
    <row r="93" spans="1:14">
      <c r="A93" s="3" t="s">
        <v>54</v>
      </c>
      <c r="B93" s="4">
        <v>45748</v>
      </c>
      <c r="C93" s="3" t="s">
        <v>9</v>
      </c>
      <c r="D93" s="3" t="s">
        <v>38</v>
      </c>
      <c r="E93" s="3">
        <v>31207.51</v>
      </c>
      <c r="F93" s="3">
        <v>3701</v>
      </c>
      <c r="G93" s="3">
        <v>4.2999999999999997E-2</v>
      </c>
      <c r="H93" s="3">
        <v>11</v>
      </c>
      <c r="I93" s="3">
        <v>84.7</v>
      </c>
      <c r="J93" s="3">
        <v>0.33</v>
      </c>
      <c r="K93" s="3">
        <v>0</v>
      </c>
      <c r="L93" s="3">
        <v>4.3</v>
      </c>
      <c r="M93" s="3">
        <v>586307.22</v>
      </c>
      <c r="N93" s="3">
        <v>73927.850000000006</v>
      </c>
    </row>
    <row r="94" spans="1:14">
      <c r="A94" s="3" t="s">
        <v>55</v>
      </c>
      <c r="B94" s="4">
        <v>45658</v>
      </c>
      <c r="C94" s="3" t="s">
        <v>10</v>
      </c>
      <c r="D94" s="3" t="s">
        <v>28</v>
      </c>
      <c r="E94" s="3">
        <v>38966.589999999997</v>
      </c>
      <c r="F94" s="3">
        <v>4509</v>
      </c>
      <c r="G94" s="3">
        <v>0.19400000000000001</v>
      </c>
      <c r="H94" s="3">
        <v>14</v>
      </c>
      <c r="I94" s="3">
        <v>91.1</v>
      </c>
      <c r="J94" s="3">
        <v>2.92</v>
      </c>
      <c r="K94" s="3">
        <v>0</v>
      </c>
      <c r="L94" s="3">
        <v>4.5999999999999996</v>
      </c>
      <c r="M94" s="3">
        <v>585937.48</v>
      </c>
      <c r="N94" s="3">
        <v>82624.2</v>
      </c>
    </row>
    <row r="95" spans="1:14">
      <c r="A95" s="3" t="s">
        <v>55</v>
      </c>
      <c r="B95" s="4">
        <v>45689</v>
      </c>
      <c r="C95" s="3" t="s">
        <v>10</v>
      </c>
      <c r="D95" s="3" t="s">
        <v>28</v>
      </c>
      <c r="E95" s="3">
        <v>67439.3</v>
      </c>
      <c r="F95" s="3">
        <v>6477</v>
      </c>
      <c r="G95" s="3">
        <v>0</v>
      </c>
      <c r="H95" s="3">
        <v>16</v>
      </c>
      <c r="I95" s="3">
        <v>90.9</v>
      </c>
      <c r="J95" s="3">
        <v>1.64</v>
      </c>
      <c r="K95" s="3">
        <v>0</v>
      </c>
      <c r="L95" s="3">
        <v>4.5</v>
      </c>
      <c r="M95" s="3">
        <v>753473.55</v>
      </c>
      <c r="N95" s="3">
        <v>151527.22</v>
      </c>
    </row>
    <row r="96" spans="1:14">
      <c r="A96" s="3" t="s">
        <v>55</v>
      </c>
      <c r="B96" s="4">
        <v>45717</v>
      </c>
      <c r="C96" s="3" t="s">
        <v>10</v>
      </c>
      <c r="D96" s="3" t="s">
        <v>28</v>
      </c>
      <c r="E96" s="3">
        <v>86421.88</v>
      </c>
      <c r="F96" s="3">
        <v>7970</v>
      </c>
      <c r="G96" s="3">
        <v>7.2999999999999995E-2</v>
      </c>
      <c r="H96" s="3">
        <v>17</v>
      </c>
      <c r="I96" s="3">
        <v>91.3</v>
      </c>
      <c r="J96" s="3">
        <v>0.8</v>
      </c>
      <c r="K96" s="3">
        <v>0</v>
      </c>
      <c r="L96" s="3">
        <v>5</v>
      </c>
      <c r="M96" s="3">
        <v>838250.32</v>
      </c>
      <c r="N96" s="3">
        <v>122939.34</v>
      </c>
    </row>
    <row r="97" spans="1:14">
      <c r="A97" s="3" t="s">
        <v>55</v>
      </c>
      <c r="B97" s="4">
        <v>45748</v>
      </c>
      <c r="C97" s="3" t="s">
        <v>10</v>
      </c>
      <c r="D97" s="3" t="s">
        <v>28</v>
      </c>
      <c r="E97" s="3">
        <v>9534.65</v>
      </c>
      <c r="F97" s="3">
        <v>6057</v>
      </c>
      <c r="G97" s="3">
        <v>7.3999999999999996E-2</v>
      </c>
      <c r="H97" s="3">
        <v>15</v>
      </c>
      <c r="I97" s="3">
        <v>94.1</v>
      </c>
      <c r="J97" s="3">
        <v>5.79</v>
      </c>
      <c r="K97" s="3">
        <v>0</v>
      </c>
      <c r="L97" s="3">
        <v>4.5</v>
      </c>
      <c r="M97" s="3">
        <v>607898.12</v>
      </c>
      <c r="N97" s="3">
        <v>135404.85</v>
      </c>
    </row>
    <row r="98" spans="1:14">
      <c r="A98" s="3" t="s">
        <v>56</v>
      </c>
      <c r="B98" s="4">
        <v>45658</v>
      </c>
      <c r="C98" s="3" t="s">
        <v>10</v>
      </c>
      <c r="D98" s="3" t="s">
        <v>38</v>
      </c>
      <c r="E98" s="3">
        <v>61132.07</v>
      </c>
      <c r="F98" s="3">
        <v>6394</v>
      </c>
      <c r="G98" s="3">
        <v>0.16300000000000001</v>
      </c>
      <c r="H98" s="3">
        <v>19</v>
      </c>
      <c r="I98" s="3">
        <v>91</v>
      </c>
      <c r="J98" s="3">
        <v>19.600000000000001</v>
      </c>
      <c r="K98" s="3">
        <v>0</v>
      </c>
      <c r="L98" s="3">
        <v>4.4000000000000004</v>
      </c>
      <c r="M98" s="3">
        <v>691113.62</v>
      </c>
      <c r="N98" s="3">
        <v>135145.44</v>
      </c>
    </row>
    <row r="99" spans="1:14">
      <c r="A99" s="3" t="s">
        <v>56</v>
      </c>
      <c r="B99" s="4">
        <v>45689</v>
      </c>
      <c r="C99" s="3" t="s">
        <v>10</v>
      </c>
      <c r="D99" s="3" t="s">
        <v>38</v>
      </c>
      <c r="E99" s="3">
        <v>78839.39</v>
      </c>
      <c r="F99" s="3">
        <v>5150</v>
      </c>
      <c r="G99" s="3">
        <v>0.17100000000000001</v>
      </c>
      <c r="H99" s="3">
        <v>13</v>
      </c>
      <c r="I99" s="3">
        <v>85.8</v>
      </c>
      <c r="J99" s="3">
        <v>7.57</v>
      </c>
      <c r="K99" s="3">
        <v>0</v>
      </c>
      <c r="L99" s="3">
        <v>4.3</v>
      </c>
      <c r="M99" s="3">
        <v>735509.4</v>
      </c>
      <c r="N99" s="3">
        <v>83895.96</v>
      </c>
    </row>
    <row r="100" spans="1:14">
      <c r="A100" s="3" t="s">
        <v>56</v>
      </c>
      <c r="B100" s="4">
        <v>45717</v>
      </c>
      <c r="C100" s="3" t="s">
        <v>10</v>
      </c>
      <c r="D100" s="3" t="s">
        <v>38</v>
      </c>
      <c r="E100" s="3">
        <v>38752.800000000003</v>
      </c>
      <c r="F100" s="3">
        <v>4712</v>
      </c>
      <c r="G100" s="3">
        <v>7.4999999999999997E-2</v>
      </c>
      <c r="H100" s="3">
        <v>15</v>
      </c>
      <c r="I100" s="3">
        <v>89.7</v>
      </c>
      <c r="J100" s="3"/>
      <c r="K100" s="3">
        <v>0</v>
      </c>
      <c r="L100" s="3">
        <v>4.3</v>
      </c>
      <c r="M100" s="3">
        <v>605775.32999999996</v>
      </c>
      <c r="N100" s="3">
        <v>107194.6</v>
      </c>
    </row>
    <row r="101" spans="1:14">
      <c r="A101" s="3" t="s">
        <v>56</v>
      </c>
      <c r="B101" s="4">
        <v>45748</v>
      </c>
      <c r="C101" s="3" t="s">
        <v>10</v>
      </c>
      <c r="D101" s="3" t="s">
        <v>38</v>
      </c>
      <c r="E101" s="3">
        <v>55101.1</v>
      </c>
      <c r="F101" s="3">
        <v>5281</v>
      </c>
      <c r="G101" s="3">
        <v>0.189</v>
      </c>
      <c r="H101" s="3">
        <v>11</v>
      </c>
      <c r="I101" s="3">
        <v>91</v>
      </c>
      <c r="J101" s="3">
        <v>2.7</v>
      </c>
      <c r="K101" s="3">
        <v>0</v>
      </c>
      <c r="L101" s="3">
        <v>4.4000000000000004</v>
      </c>
      <c r="M101" s="3">
        <v>675177.68</v>
      </c>
      <c r="N101" s="3">
        <v>105628.68</v>
      </c>
    </row>
    <row r="102" spans="1:14">
      <c r="A102" s="3" t="s">
        <v>57</v>
      </c>
      <c r="B102" s="4">
        <v>45658</v>
      </c>
      <c r="C102" s="3" t="s">
        <v>8</v>
      </c>
      <c r="D102" s="3" t="s">
        <v>38</v>
      </c>
      <c r="E102" s="3">
        <v>53084.76</v>
      </c>
      <c r="F102" s="3">
        <v>3642</v>
      </c>
      <c r="G102" s="3">
        <v>0.15</v>
      </c>
      <c r="H102" s="3">
        <v>12</v>
      </c>
      <c r="I102" s="3">
        <v>91.4</v>
      </c>
      <c r="J102" s="3">
        <v>0.2</v>
      </c>
      <c r="K102" s="3">
        <v>0</v>
      </c>
      <c r="L102" s="3">
        <v>4.4000000000000004</v>
      </c>
      <c r="M102" s="3">
        <v>635181.35</v>
      </c>
      <c r="N102" s="3">
        <v>83341.25</v>
      </c>
    </row>
    <row r="103" spans="1:14">
      <c r="A103" s="3" t="s">
        <v>57</v>
      </c>
      <c r="B103" s="4">
        <v>45689</v>
      </c>
      <c r="C103" s="3" t="s">
        <v>8</v>
      </c>
      <c r="D103" s="3" t="s">
        <v>38</v>
      </c>
      <c r="E103" s="3">
        <v>63101.59</v>
      </c>
      <c r="F103" s="3">
        <v>4373</v>
      </c>
      <c r="G103" s="3">
        <v>0.17299999999999999</v>
      </c>
      <c r="H103" s="3">
        <v>14</v>
      </c>
      <c r="I103" s="3">
        <v>90.4</v>
      </c>
      <c r="J103" s="3">
        <v>7.87</v>
      </c>
      <c r="K103" s="3">
        <v>0</v>
      </c>
      <c r="L103" s="3">
        <v>4.7</v>
      </c>
      <c r="M103" s="3">
        <v>586626.93999999994</v>
      </c>
      <c r="N103" s="3">
        <v>86498.55</v>
      </c>
    </row>
    <row r="104" spans="1:14">
      <c r="A104" s="3" t="s">
        <v>57</v>
      </c>
      <c r="B104" s="4">
        <v>45717</v>
      </c>
      <c r="C104" s="3" t="s">
        <v>8</v>
      </c>
      <c r="D104" s="3" t="s">
        <v>38</v>
      </c>
      <c r="E104" s="3">
        <v>90084.4</v>
      </c>
      <c r="F104" s="3">
        <v>6832</v>
      </c>
      <c r="G104" s="3">
        <v>0.185</v>
      </c>
      <c r="H104" s="3">
        <v>14</v>
      </c>
      <c r="I104" s="3">
        <v>80.5</v>
      </c>
      <c r="J104" s="3">
        <v>0.77</v>
      </c>
      <c r="K104" s="3">
        <v>1</v>
      </c>
      <c r="L104" s="3">
        <v>4.4000000000000004</v>
      </c>
      <c r="M104" s="3">
        <v>740102.64</v>
      </c>
      <c r="N104" s="3">
        <v>114299.07</v>
      </c>
    </row>
    <row r="105" spans="1:14">
      <c r="A105" s="3" t="s">
        <v>57</v>
      </c>
      <c r="B105" s="4">
        <v>45748</v>
      </c>
      <c r="C105" s="3" t="s">
        <v>8</v>
      </c>
      <c r="D105" s="3" t="s">
        <v>38</v>
      </c>
      <c r="E105" s="3">
        <v>32266.639999999999</v>
      </c>
      <c r="F105" s="3">
        <v>2414</v>
      </c>
      <c r="G105" s="3">
        <v>0.08</v>
      </c>
      <c r="H105" s="3">
        <v>7</v>
      </c>
      <c r="I105" s="3">
        <v>92.1</v>
      </c>
      <c r="J105" s="3">
        <v>1.48</v>
      </c>
      <c r="K105" s="3">
        <v>0</v>
      </c>
      <c r="L105" s="3">
        <v>5</v>
      </c>
      <c r="M105" s="3">
        <v>625514.04</v>
      </c>
      <c r="N105" s="3">
        <v>120685.08</v>
      </c>
    </row>
    <row r="106" spans="1:14">
      <c r="A106" s="3" t="s">
        <v>58</v>
      </c>
      <c r="B106" s="4">
        <v>45658</v>
      </c>
      <c r="C106" s="3" t="s">
        <v>10</v>
      </c>
      <c r="D106" s="3" t="s">
        <v>30</v>
      </c>
      <c r="E106" s="3">
        <v>57919.07</v>
      </c>
      <c r="F106" s="3">
        <v>7374</v>
      </c>
      <c r="G106" s="3">
        <v>0.10299999999999999</v>
      </c>
      <c r="H106" s="3">
        <v>21</v>
      </c>
      <c r="I106" s="3">
        <v>82.3</v>
      </c>
      <c r="J106" s="3">
        <v>2.87</v>
      </c>
      <c r="K106" s="3">
        <v>0</v>
      </c>
      <c r="L106" s="3">
        <v>2.9</v>
      </c>
      <c r="M106" s="3">
        <v>727227.2</v>
      </c>
      <c r="N106" s="3">
        <v>121292.01</v>
      </c>
    </row>
    <row r="107" spans="1:14">
      <c r="A107" s="3" t="s">
        <v>58</v>
      </c>
      <c r="B107" s="4">
        <v>45689</v>
      </c>
      <c r="C107" s="3" t="s">
        <v>10</v>
      </c>
      <c r="D107" s="3" t="s">
        <v>30</v>
      </c>
      <c r="E107" s="3">
        <v>74679.350000000006</v>
      </c>
      <c r="F107" s="3">
        <v>8739</v>
      </c>
      <c r="G107" s="3">
        <v>5.6000000000000001E-2</v>
      </c>
      <c r="H107" s="3">
        <v>21</v>
      </c>
      <c r="I107" s="3">
        <v>91.8</v>
      </c>
      <c r="J107" s="3">
        <v>2.83</v>
      </c>
      <c r="K107" s="3">
        <v>0</v>
      </c>
      <c r="L107" s="3">
        <v>3</v>
      </c>
      <c r="M107" s="3">
        <v>783797.89</v>
      </c>
      <c r="N107" s="3">
        <v>157620.70000000001</v>
      </c>
    </row>
    <row r="108" spans="1:14">
      <c r="A108" s="3" t="s">
        <v>58</v>
      </c>
      <c r="B108" s="4">
        <v>45717</v>
      </c>
      <c r="C108" s="3" t="s">
        <v>10</v>
      </c>
      <c r="D108" s="3" t="s">
        <v>30</v>
      </c>
      <c r="E108" s="3">
        <v>64294.23</v>
      </c>
      <c r="F108" s="3">
        <v>6992</v>
      </c>
      <c r="G108" s="3">
        <v>0.13300000000000001</v>
      </c>
      <c r="H108" s="3">
        <v>14</v>
      </c>
      <c r="I108" s="3">
        <v>94.1</v>
      </c>
      <c r="J108" s="3">
        <v>0.25</v>
      </c>
      <c r="K108" s="3">
        <v>0</v>
      </c>
      <c r="L108" s="3">
        <v>3</v>
      </c>
      <c r="M108" s="3">
        <v>795153.84</v>
      </c>
      <c r="N108" s="3">
        <v>143194.21</v>
      </c>
    </row>
    <row r="109" spans="1:14">
      <c r="A109" s="3" t="s">
        <v>58</v>
      </c>
      <c r="B109" s="4">
        <v>45748</v>
      </c>
      <c r="C109" s="3" t="s">
        <v>10</v>
      </c>
      <c r="D109" s="3" t="s">
        <v>30</v>
      </c>
      <c r="E109" s="3">
        <v>31042.03</v>
      </c>
      <c r="F109" s="3">
        <v>7107</v>
      </c>
      <c r="G109" s="3">
        <v>5.0999999999999997E-2</v>
      </c>
      <c r="H109" s="3">
        <v>15</v>
      </c>
      <c r="I109" s="3">
        <v>87</v>
      </c>
      <c r="J109" s="3">
        <v>13.33</v>
      </c>
      <c r="K109" s="3">
        <v>0</v>
      </c>
      <c r="L109" s="3">
        <v>3.2</v>
      </c>
      <c r="M109" s="3">
        <v>665594.93999999994</v>
      </c>
      <c r="N109" s="3">
        <v>127597.34</v>
      </c>
    </row>
    <row r="110" spans="1:14">
      <c r="A110" s="3" t="s">
        <v>59</v>
      </c>
      <c r="B110" s="4">
        <v>45658</v>
      </c>
      <c r="C110" s="3" t="s">
        <v>8</v>
      </c>
      <c r="D110" s="3" t="s">
        <v>38</v>
      </c>
      <c r="E110" s="3">
        <v>75265.02</v>
      </c>
      <c r="F110" s="3">
        <v>6975</v>
      </c>
      <c r="G110" s="3">
        <v>0.157</v>
      </c>
      <c r="H110" s="3">
        <v>20</v>
      </c>
      <c r="I110" s="3">
        <v>73.8</v>
      </c>
      <c r="J110" s="3">
        <v>6.35</v>
      </c>
      <c r="K110" s="3">
        <v>1</v>
      </c>
      <c r="L110" s="3">
        <v>3.8</v>
      </c>
      <c r="M110" s="3">
        <v>709478.39</v>
      </c>
      <c r="N110" s="3">
        <v>71294.27</v>
      </c>
    </row>
    <row r="111" spans="1:14">
      <c r="A111" s="3" t="s">
        <v>59</v>
      </c>
      <c r="B111" s="4">
        <v>45689</v>
      </c>
      <c r="C111" s="3" t="s">
        <v>8</v>
      </c>
      <c r="D111" s="3" t="s">
        <v>38</v>
      </c>
      <c r="E111" s="3">
        <v>69411.7</v>
      </c>
      <c r="F111" s="3">
        <v>5493</v>
      </c>
      <c r="G111" s="3">
        <v>0.29199999999999998</v>
      </c>
      <c r="H111" s="3">
        <v>13</v>
      </c>
      <c r="I111" s="3">
        <v>86.5</v>
      </c>
      <c r="J111" s="3">
        <v>6.69</v>
      </c>
      <c r="K111" s="3">
        <v>0</v>
      </c>
      <c r="L111" s="3">
        <v>3.8</v>
      </c>
      <c r="M111" s="3">
        <v>664162.49</v>
      </c>
      <c r="N111" s="3">
        <v>98291.06</v>
      </c>
    </row>
    <row r="112" spans="1:14">
      <c r="A112" s="3" t="s">
        <v>59</v>
      </c>
      <c r="B112" s="4">
        <v>45717</v>
      </c>
      <c r="C112" s="3" t="s">
        <v>8</v>
      </c>
      <c r="D112" s="3" t="s">
        <v>38</v>
      </c>
      <c r="E112" s="3">
        <v>51056.15</v>
      </c>
      <c r="F112" s="3">
        <v>5686</v>
      </c>
      <c r="G112" s="3">
        <v>8.8999999999999996E-2</v>
      </c>
      <c r="H112" s="3">
        <v>13</v>
      </c>
      <c r="I112" s="3">
        <v>89.9</v>
      </c>
      <c r="J112" s="3">
        <v>1.28</v>
      </c>
      <c r="K112" s="3">
        <v>0</v>
      </c>
      <c r="L112" s="3">
        <v>4.2</v>
      </c>
      <c r="M112" s="3">
        <v>633494.21</v>
      </c>
      <c r="N112" s="3">
        <v>105739.47</v>
      </c>
    </row>
    <row r="113" spans="1:14">
      <c r="A113" s="3" t="s">
        <v>59</v>
      </c>
      <c r="B113" s="4">
        <v>45748</v>
      </c>
      <c r="C113" s="3" t="s">
        <v>8</v>
      </c>
      <c r="D113" s="3" t="s">
        <v>38</v>
      </c>
      <c r="E113" s="3">
        <v>52758.01</v>
      </c>
      <c r="F113" s="3">
        <v>4063</v>
      </c>
      <c r="G113" s="3">
        <v>5.7000000000000002E-2</v>
      </c>
      <c r="H113" s="3">
        <v>12</v>
      </c>
      <c r="I113" s="3">
        <v>91.7</v>
      </c>
      <c r="J113" s="3">
        <v>0.92</v>
      </c>
      <c r="K113" s="3">
        <v>0</v>
      </c>
      <c r="L113" s="3">
        <v>3.5</v>
      </c>
      <c r="M113" s="3">
        <v>713611.16</v>
      </c>
      <c r="N113" s="3">
        <v>129717.18</v>
      </c>
    </row>
    <row r="114" spans="1:14">
      <c r="A114" s="3" t="s">
        <v>60</v>
      </c>
      <c r="B114" s="4">
        <v>45658</v>
      </c>
      <c r="C114" s="3" t="s">
        <v>10</v>
      </c>
      <c r="D114" s="3" t="s">
        <v>38</v>
      </c>
      <c r="E114" s="3">
        <v>61426.04</v>
      </c>
      <c r="F114" s="3">
        <v>8966</v>
      </c>
      <c r="G114" s="3">
        <v>0.17299999999999999</v>
      </c>
      <c r="H114" s="3">
        <v>22</v>
      </c>
      <c r="I114" s="3">
        <v>76.400000000000006</v>
      </c>
      <c r="J114" s="3">
        <v>1.05</v>
      </c>
      <c r="K114" s="3">
        <v>0</v>
      </c>
      <c r="L114" s="3">
        <v>3.1</v>
      </c>
      <c r="M114" s="3">
        <v>778397.97</v>
      </c>
      <c r="N114" s="3">
        <v>120044.41</v>
      </c>
    </row>
    <row r="115" spans="1:14">
      <c r="A115" s="3" t="s">
        <v>60</v>
      </c>
      <c r="B115" s="4">
        <v>45689</v>
      </c>
      <c r="C115" s="3" t="s">
        <v>10</v>
      </c>
      <c r="D115" s="3" t="s">
        <v>38</v>
      </c>
      <c r="E115" s="3">
        <v>80176.34</v>
      </c>
      <c r="F115" s="3">
        <v>9489</v>
      </c>
      <c r="G115" s="3">
        <v>0.14199999999999999</v>
      </c>
      <c r="H115" s="3">
        <v>22</v>
      </c>
      <c r="I115" s="3">
        <v>94.3</v>
      </c>
      <c r="J115" s="3">
        <v>2.67</v>
      </c>
      <c r="K115" s="3">
        <v>0</v>
      </c>
      <c r="L115" s="3">
        <v>3.5</v>
      </c>
      <c r="M115" s="3">
        <v>873380.02</v>
      </c>
      <c r="N115" s="3">
        <v>149734.76</v>
      </c>
    </row>
    <row r="116" spans="1:14">
      <c r="A116" s="3" t="s">
        <v>60</v>
      </c>
      <c r="B116" s="4">
        <v>45717</v>
      </c>
      <c r="C116" s="3" t="s">
        <v>10</v>
      </c>
      <c r="D116" s="3" t="s">
        <v>38</v>
      </c>
      <c r="E116" s="3">
        <v>33605.18</v>
      </c>
      <c r="F116" s="3">
        <v>9225</v>
      </c>
      <c r="G116" s="3">
        <v>0.159</v>
      </c>
      <c r="H116" s="3">
        <v>23</v>
      </c>
      <c r="I116" s="3">
        <v>88.4</v>
      </c>
      <c r="J116" s="3">
        <v>5.91</v>
      </c>
      <c r="K116" s="3">
        <v>0</v>
      </c>
      <c r="L116" s="3">
        <v>2.8</v>
      </c>
      <c r="M116" s="3">
        <v>697287.9</v>
      </c>
      <c r="N116" s="3">
        <v>128208.33</v>
      </c>
    </row>
    <row r="117" spans="1:14">
      <c r="A117" s="3" t="s">
        <v>60</v>
      </c>
      <c r="B117" s="4">
        <v>45748</v>
      </c>
      <c r="C117" s="3" t="s">
        <v>10</v>
      </c>
      <c r="D117" s="3" t="s">
        <v>38</v>
      </c>
      <c r="E117" s="3">
        <v>25990.54</v>
      </c>
      <c r="F117" s="3">
        <v>9249</v>
      </c>
      <c r="G117" s="3">
        <v>0.13900000000000001</v>
      </c>
      <c r="H117" s="3">
        <v>23</v>
      </c>
      <c r="I117" s="3">
        <v>92.5</v>
      </c>
      <c r="J117" s="3">
        <v>6.37</v>
      </c>
      <c r="K117" s="3">
        <v>0</v>
      </c>
      <c r="L117" s="3">
        <v>3.3</v>
      </c>
      <c r="M117" s="3">
        <v>718074.79</v>
      </c>
      <c r="N117" s="3">
        <v>115819.87</v>
      </c>
    </row>
    <row r="118" spans="1:14">
      <c r="A118" s="3" t="s">
        <v>61</v>
      </c>
      <c r="B118" s="4">
        <v>45658</v>
      </c>
      <c r="C118" s="3" t="s">
        <v>10</v>
      </c>
      <c r="D118" s="3" t="s">
        <v>28</v>
      </c>
      <c r="E118" s="3">
        <v>43685.14</v>
      </c>
      <c r="F118" s="3">
        <v>7821</v>
      </c>
      <c r="G118" s="3">
        <v>0.19</v>
      </c>
      <c r="H118" s="3">
        <v>17</v>
      </c>
      <c r="I118" s="3">
        <v>91</v>
      </c>
      <c r="J118" s="3">
        <v>2.4900000000000002</v>
      </c>
      <c r="K118" s="3">
        <v>1</v>
      </c>
      <c r="L118" s="3">
        <v>4.7</v>
      </c>
      <c r="M118" s="3">
        <v>714942.43</v>
      </c>
      <c r="N118" s="3">
        <v>94697.71</v>
      </c>
    </row>
    <row r="119" spans="1:14">
      <c r="A119" s="3" t="s">
        <v>61</v>
      </c>
      <c r="B119" s="4">
        <v>45689</v>
      </c>
      <c r="C119" s="3" t="s">
        <v>10</v>
      </c>
      <c r="D119" s="3" t="s">
        <v>28</v>
      </c>
      <c r="E119" s="3">
        <v>57360.01</v>
      </c>
      <c r="F119" s="3">
        <v>8434</v>
      </c>
      <c r="G119" s="3">
        <v>0.151</v>
      </c>
      <c r="H119" s="3">
        <v>19</v>
      </c>
      <c r="I119" s="3">
        <v>84.1</v>
      </c>
      <c r="J119" s="3">
        <v>1.56</v>
      </c>
      <c r="K119" s="3">
        <v>0</v>
      </c>
      <c r="L119" s="3">
        <v>4.7</v>
      </c>
      <c r="M119" s="3">
        <v>820519.04</v>
      </c>
      <c r="N119" s="3">
        <v>99035.88</v>
      </c>
    </row>
    <row r="120" spans="1:14">
      <c r="A120" s="3" t="s">
        <v>61</v>
      </c>
      <c r="B120" s="4">
        <v>45717</v>
      </c>
      <c r="C120" s="3" t="s">
        <v>10</v>
      </c>
      <c r="D120" s="3" t="s">
        <v>28</v>
      </c>
      <c r="E120" s="3">
        <v>42415.47</v>
      </c>
      <c r="F120" s="3">
        <v>8512</v>
      </c>
      <c r="G120" s="3">
        <v>0.13300000000000001</v>
      </c>
      <c r="H120" s="3">
        <v>18</v>
      </c>
      <c r="I120" s="3">
        <v>96.8</v>
      </c>
      <c r="J120" s="3">
        <v>14.95</v>
      </c>
      <c r="K120" s="3">
        <v>0</v>
      </c>
      <c r="L120" s="3">
        <v>4.5999999999999996</v>
      </c>
      <c r="M120" s="3">
        <v>684217.32</v>
      </c>
      <c r="N120" s="3">
        <v>136217.19</v>
      </c>
    </row>
    <row r="121" spans="1:14">
      <c r="A121" s="3" t="s">
        <v>61</v>
      </c>
      <c r="B121" s="4">
        <v>45748</v>
      </c>
      <c r="C121" s="3" t="s">
        <v>10</v>
      </c>
      <c r="D121" s="3" t="s">
        <v>28</v>
      </c>
      <c r="E121" s="3">
        <v>54968.98</v>
      </c>
      <c r="F121" s="3">
        <v>7816</v>
      </c>
      <c r="G121" s="3">
        <v>0.23200000000000001</v>
      </c>
      <c r="H121" s="3">
        <v>19</v>
      </c>
      <c r="I121" s="3">
        <v>95.7</v>
      </c>
      <c r="J121" s="3">
        <v>7.85</v>
      </c>
      <c r="K121" s="3">
        <v>0</v>
      </c>
      <c r="L121" s="3">
        <v>4.7</v>
      </c>
      <c r="M121" s="3">
        <v>735480.19</v>
      </c>
      <c r="N121" s="3">
        <v>88342.11</v>
      </c>
    </row>
    <row r="122" spans="1:14">
      <c r="A122" s="3" t="s">
        <v>62</v>
      </c>
      <c r="B122" s="4">
        <v>45658</v>
      </c>
      <c r="C122" s="3" t="s">
        <v>32</v>
      </c>
      <c r="D122" s="3" t="s">
        <v>30</v>
      </c>
      <c r="E122" s="3">
        <v>43896.13</v>
      </c>
      <c r="F122" s="3">
        <v>3853</v>
      </c>
      <c r="G122" s="3">
        <v>8.7999999999999995E-2</v>
      </c>
      <c r="H122" s="3">
        <v>13</v>
      </c>
      <c r="I122" s="3">
        <v>83</v>
      </c>
      <c r="J122" s="3">
        <v>6.8</v>
      </c>
      <c r="K122" s="3">
        <v>0</v>
      </c>
      <c r="L122" s="3">
        <v>4.4000000000000004</v>
      </c>
      <c r="M122" s="3">
        <v>509484.81</v>
      </c>
      <c r="N122" s="3">
        <v>85742.36</v>
      </c>
    </row>
    <row r="123" spans="1:14">
      <c r="A123" s="3" t="s">
        <v>62</v>
      </c>
      <c r="B123" s="4">
        <v>45689</v>
      </c>
      <c r="C123" s="3" t="s">
        <v>32</v>
      </c>
      <c r="D123" s="3" t="s">
        <v>30</v>
      </c>
      <c r="E123" s="3">
        <v>83044.17</v>
      </c>
      <c r="F123" s="3">
        <v>3694</v>
      </c>
      <c r="G123" s="3">
        <v>0</v>
      </c>
      <c r="H123" s="3">
        <v>14</v>
      </c>
      <c r="I123" s="3">
        <v>89.4</v>
      </c>
      <c r="J123" s="3">
        <v>2.2000000000000002</v>
      </c>
      <c r="K123" s="3">
        <v>0</v>
      </c>
      <c r="L123" s="3">
        <v>3.7</v>
      </c>
      <c r="M123" s="3">
        <v>654317.09</v>
      </c>
      <c r="N123" s="3">
        <v>121446.89</v>
      </c>
    </row>
    <row r="124" spans="1:14">
      <c r="A124" s="3" t="s">
        <v>62</v>
      </c>
      <c r="B124" s="4">
        <v>45717</v>
      </c>
      <c r="C124" s="3" t="s">
        <v>32</v>
      </c>
      <c r="D124" s="3" t="s">
        <v>30</v>
      </c>
      <c r="E124" s="3">
        <v>48396.13</v>
      </c>
      <c r="F124" s="3">
        <v>4423</v>
      </c>
      <c r="G124" s="3">
        <v>6.9000000000000006E-2</v>
      </c>
      <c r="H124" s="3">
        <v>15</v>
      </c>
      <c r="I124" s="3">
        <v>85.7</v>
      </c>
      <c r="J124" s="3">
        <v>1.88</v>
      </c>
      <c r="K124" s="3">
        <v>0</v>
      </c>
      <c r="L124" s="3">
        <v>3.9</v>
      </c>
      <c r="M124" s="3">
        <v>557487.26</v>
      </c>
      <c r="N124" s="3">
        <v>76432.19</v>
      </c>
    </row>
    <row r="125" spans="1:14">
      <c r="A125" s="3" t="s">
        <v>62</v>
      </c>
      <c r="B125" s="4">
        <v>45748</v>
      </c>
      <c r="C125" s="3" t="s">
        <v>32</v>
      </c>
      <c r="D125" s="3" t="s">
        <v>30</v>
      </c>
      <c r="E125" s="3">
        <v>19063.48</v>
      </c>
      <c r="F125" s="3">
        <v>1906</v>
      </c>
      <c r="G125" s="3">
        <v>0.216</v>
      </c>
      <c r="H125" s="3">
        <v>10</v>
      </c>
      <c r="I125" s="3">
        <v>97.8</v>
      </c>
      <c r="J125" s="3">
        <v>15.79</v>
      </c>
      <c r="K125" s="3">
        <v>0</v>
      </c>
      <c r="L125" s="3">
        <v>4.4000000000000004</v>
      </c>
      <c r="M125" s="3">
        <v>441275.42</v>
      </c>
      <c r="N125" s="3">
        <v>58234.87</v>
      </c>
    </row>
    <row r="126" spans="1:14">
      <c r="A126" s="3" t="s">
        <v>63</v>
      </c>
      <c r="B126" s="4">
        <v>45658</v>
      </c>
      <c r="C126" s="3" t="s">
        <v>9</v>
      </c>
      <c r="D126" s="3" t="s">
        <v>30</v>
      </c>
      <c r="E126" s="3">
        <v>61541.21</v>
      </c>
      <c r="F126" s="3">
        <v>10396</v>
      </c>
      <c r="G126" s="3">
        <v>0.123</v>
      </c>
      <c r="H126" s="3">
        <v>25</v>
      </c>
      <c r="I126" s="3">
        <v>88.1</v>
      </c>
      <c r="J126" s="3">
        <v>2.34</v>
      </c>
      <c r="K126" s="3">
        <v>1</v>
      </c>
      <c r="L126" s="3">
        <v>4.8</v>
      </c>
      <c r="M126" s="3">
        <v>914544.17</v>
      </c>
      <c r="N126" s="3">
        <v>79831.73</v>
      </c>
    </row>
    <row r="127" spans="1:14">
      <c r="A127" s="3" t="s">
        <v>63</v>
      </c>
      <c r="B127" s="4">
        <v>45689</v>
      </c>
      <c r="C127" s="3" t="s">
        <v>9</v>
      </c>
      <c r="D127" s="3" t="s">
        <v>30</v>
      </c>
      <c r="E127" s="3">
        <v>44747</v>
      </c>
      <c r="F127" s="3">
        <v>11076</v>
      </c>
      <c r="G127" s="3">
        <v>0.17599999999999999</v>
      </c>
      <c r="H127" s="3">
        <v>27</v>
      </c>
      <c r="I127" s="3">
        <v>98.3</v>
      </c>
      <c r="J127" s="3">
        <v>0.54</v>
      </c>
      <c r="K127" s="3">
        <v>0</v>
      </c>
      <c r="L127" s="3">
        <v>4.4000000000000004</v>
      </c>
      <c r="M127" s="3">
        <v>842439.67</v>
      </c>
      <c r="N127" s="3">
        <v>169983.63</v>
      </c>
    </row>
    <row r="128" spans="1:14">
      <c r="A128" s="3" t="s">
        <v>63</v>
      </c>
      <c r="B128" s="4">
        <v>45717</v>
      </c>
      <c r="C128" s="3" t="s">
        <v>9</v>
      </c>
      <c r="D128" s="3" t="s">
        <v>30</v>
      </c>
      <c r="E128" s="3">
        <v>56517.9</v>
      </c>
      <c r="F128" s="3">
        <v>9574</v>
      </c>
      <c r="G128" s="3">
        <v>0.20399999999999999</v>
      </c>
      <c r="H128" s="3">
        <v>20</v>
      </c>
      <c r="I128" s="3">
        <v>88.2</v>
      </c>
      <c r="J128" s="3">
        <v>5.37</v>
      </c>
      <c r="K128" s="3">
        <v>1</v>
      </c>
      <c r="L128" s="3">
        <v>4.9000000000000004</v>
      </c>
      <c r="M128" s="3">
        <v>842157.92</v>
      </c>
      <c r="N128" s="3">
        <v>107348.22</v>
      </c>
    </row>
    <row r="129" spans="1:14">
      <c r="A129" s="3" t="s">
        <v>63</v>
      </c>
      <c r="B129" s="4">
        <v>45748</v>
      </c>
      <c r="C129" s="3" t="s">
        <v>9</v>
      </c>
      <c r="D129" s="3" t="s">
        <v>30</v>
      </c>
      <c r="E129" s="3">
        <v>37828.5</v>
      </c>
      <c r="F129" s="3">
        <v>8221</v>
      </c>
      <c r="G129" s="3">
        <v>9.6000000000000002E-2</v>
      </c>
      <c r="H129" s="3">
        <v>19</v>
      </c>
      <c r="I129" s="3">
        <v>81.5</v>
      </c>
      <c r="J129" s="3">
        <v>3.19</v>
      </c>
      <c r="K129" s="3">
        <v>0</v>
      </c>
      <c r="L129" s="3">
        <v>4.8</v>
      </c>
      <c r="M129" s="3">
        <v>697155.3</v>
      </c>
      <c r="N129" s="3">
        <v>136408.54</v>
      </c>
    </row>
    <row r="130" spans="1:14">
      <c r="A130" s="3" t="s">
        <v>64</v>
      </c>
      <c r="B130" s="4">
        <v>45658</v>
      </c>
      <c r="C130" s="3" t="s">
        <v>8</v>
      </c>
      <c r="D130" s="3" t="s">
        <v>30</v>
      </c>
      <c r="E130" s="3">
        <v>66250.53</v>
      </c>
      <c r="F130" s="3">
        <v>10618</v>
      </c>
      <c r="G130" s="3">
        <v>0.14199999999999999</v>
      </c>
      <c r="H130" s="3">
        <v>27</v>
      </c>
      <c r="I130" s="3">
        <v>88.3</v>
      </c>
      <c r="J130" s="3">
        <v>1.1000000000000001</v>
      </c>
      <c r="K130" s="3">
        <v>1</v>
      </c>
      <c r="L130" s="3">
        <v>4.4000000000000004</v>
      </c>
      <c r="M130" s="3">
        <v>849018.3</v>
      </c>
      <c r="N130" s="3">
        <v>149035.13</v>
      </c>
    </row>
    <row r="131" spans="1:14">
      <c r="A131" s="3" t="s">
        <v>64</v>
      </c>
      <c r="B131" s="4">
        <v>45689</v>
      </c>
      <c r="C131" s="3" t="s">
        <v>8</v>
      </c>
      <c r="D131" s="3" t="s">
        <v>30</v>
      </c>
      <c r="E131" s="3">
        <v>68410.929999999993</v>
      </c>
      <c r="F131" s="3">
        <v>10596</v>
      </c>
      <c r="G131" s="3">
        <v>0.20699999999999999</v>
      </c>
      <c r="H131" s="3">
        <v>25</v>
      </c>
      <c r="I131" s="3">
        <v>81.2</v>
      </c>
      <c r="J131" s="3">
        <v>0.21</v>
      </c>
      <c r="K131" s="3">
        <v>0</v>
      </c>
      <c r="L131" s="3">
        <v>4</v>
      </c>
      <c r="M131" s="3">
        <v>801830.35</v>
      </c>
      <c r="N131" s="3">
        <v>114875.32</v>
      </c>
    </row>
    <row r="132" spans="1:14">
      <c r="A132" s="3" t="s">
        <v>64</v>
      </c>
      <c r="B132" s="4">
        <v>45717</v>
      </c>
      <c r="C132" s="3" t="s">
        <v>8</v>
      </c>
      <c r="D132" s="3" t="s">
        <v>30</v>
      </c>
      <c r="E132" s="3">
        <v>50735.63</v>
      </c>
      <c r="F132" s="3">
        <v>9619</v>
      </c>
      <c r="G132" s="3">
        <v>0.14399999999999999</v>
      </c>
      <c r="H132" s="3">
        <v>19</v>
      </c>
      <c r="I132" s="3">
        <v>93.8</v>
      </c>
      <c r="J132" s="3">
        <v>5.12</v>
      </c>
      <c r="K132" s="3">
        <v>1</v>
      </c>
      <c r="L132" s="3">
        <v>4.5</v>
      </c>
      <c r="M132" s="3">
        <v>725235.28</v>
      </c>
      <c r="N132" s="3">
        <v>121632.24</v>
      </c>
    </row>
    <row r="133" spans="1:14">
      <c r="A133" s="3" t="s">
        <v>64</v>
      </c>
      <c r="B133" s="4">
        <v>45748</v>
      </c>
      <c r="C133" s="3" t="s">
        <v>8</v>
      </c>
      <c r="D133" s="3" t="s">
        <v>30</v>
      </c>
      <c r="E133" s="3">
        <v>66455.8</v>
      </c>
      <c r="F133" s="3">
        <v>10836</v>
      </c>
      <c r="G133" s="3">
        <v>8.8999999999999996E-2</v>
      </c>
      <c r="H133" s="3">
        <v>25</v>
      </c>
      <c r="I133" s="3">
        <v>85</v>
      </c>
      <c r="J133" s="3">
        <v>9.77</v>
      </c>
      <c r="K133" s="3">
        <v>0</v>
      </c>
      <c r="L133" s="3">
        <v>4.5</v>
      </c>
      <c r="M133" s="3">
        <v>811452.72</v>
      </c>
      <c r="N133" s="3">
        <v>131325.67000000001</v>
      </c>
    </row>
    <row r="134" spans="1:14">
      <c r="A134" s="3" t="s">
        <v>65</v>
      </c>
      <c r="B134" s="4">
        <v>45658</v>
      </c>
      <c r="C134" s="3" t="s">
        <v>32</v>
      </c>
      <c r="D134" s="3" t="s">
        <v>30</v>
      </c>
      <c r="E134" s="3">
        <v>70276.28</v>
      </c>
      <c r="F134" s="3">
        <v>3043</v>
      </c>
      <c r="G134" s="3">
        <v>7.9000000000000001E-2</v>
      </c>
      <c r="H134" s="3">
        <v>9</v>
      </c>
      <c r="I134" s="3">
        <v>87.9</v>
      </c>
      <c r="J134" s="3">
        <v>3.77</v>
      </c>
      <c r="K134" s="3">
        <v>0</v>
      </c>
      <c r="L134" s="3">
        <v>4.4000000000000004</v>
      </c>
      <c r="M134" s="3">
        <v>527300.13</v>
      </c>
      <c r="N134" s="3">
        <v>84197.87</v>
      </c>
    </row>
    <row r="135" spans="1:14">
      <c r="A135" s="3" t="s">
        <v>65</v>
      </c>
      <c r="B135" s="4">
        <v>45689</v>
      </c>
      <c r="C135" s="3" t="s">
        <v>32</v>
      </c>
      <c r="D135" s="3" t="s">
        <v>30</v>
      </c>
      <c r="E135" s="3">
        <v>22071.64</v>
      </c>
      <c r="F135" s="3">
        <v>1814</v>
      </c>
      <c r="G135" s="3">
        <v>0.19600000000000001</v>
      </c>
      <c r="H135" s="3">
        <v>8</v>
      </c>
      <c r="I135" s="3">
        <v>81.099999999999994</v>
      </c>
      <c r="J135" s="3">
        <v>0.78</v>
      </c>
      <c r="K135" s="3">
        <v>0</v>
      </c>
      <c r="L135" s="3"/>
      <c r="M135" s="3">
        <v>400831.65</v>
      </c>
      <c r="N135" s="3">
        <v>70979.31</v>
      </c>
    </row>
    <row r="136" spans="1:14">
      <c r="A136" s="3" t="s">
        <v>65</v>
      </c>
      <c r="B136" s="4">
        <v>45717</v>
      </c>
      <c r="C136" s="3" t="s">
        <v>32</v>
      </c>
      <c r="D136" s="3" t="s">
        <v>30</v>
      </c>
      <c r="E136" s="3">
        <v>52285.45</v>
      </c>
      <c r="F136" s="3">
        <v>3618</v>
      </c>
      <c r="G136" s="3">
        <v>8.5999999999999993E-2</v>
      </c>
      <c r="H136" s="3">
        <v>11</v>
      </c>
      <c r="I136" s="3">
        <v>95.6</v>
      </c>
      <c r="J136" s="3">
        <v>5.17</v>
      </c>
      <c r="K136" s="3">
        <v>1</v>
      </c>
      <c r="L136" s="3">
        <v>4.4000000000000004</v>
      </c>
      <c r="M136" s="3">
        <v>593247.25</v>
      </c>
      <c r="N136" s="3">
        <v>81240.289999999994</v>
      </c>
    </row>
    <row r="137" spans="1:14">
      <c r="A137" s="3" t="s">
        <v>65</v>
      </c>
      <c r="B137" s="4">
        <v>45748</v>
      </c>
      <c r="C137" s="3" t="s">
        <v>32</v>
      </c>
      <c r="D137" s="3" t="s">
        <v>30</v>
      </c>
      <c r="E137" s="3">
        <v>70366.759999999995</v>
      </c>
      <c r="F137" s="3">
        <v>1963</v>
      </c>
      <c r="G137" s="3">
        <v>0.182</v>
      </c>
      <c r="H137" s="3">
        <v>8</v>
      </c>
      <c r="I137" s="3">
        <v>89.8</v>
      </c>
      <c r="J137" s="3">
        <v>3.2</v>
      </c>
      <c r="K137" s="3">
        <v>0</v>
      </c>
      <c r="L137" s="3">
        <v>4.5999999999999996</v>
      </c>
      <c r="M137" s="3">
        <v>529075.94999999995</v>
      </c>
      <c r="N137" s="3">
        <v>95978.83</v>
      </c>
    </row>
    <row r="138" spans="1:14">
      <c r="A138" s="3" t="s">
        <v>66</v>
      </c>
      <c r="B138" s="4">
        <v>45658</v>
      </c>
      <c r="C138" s="3" t="s">
        <v>9</v>
      </c>
      <c r="D138" s="3" t="s">
        <v>28</v>
      </c>
      <c r="E138" s="3">
        <v>71320.66</v>
      </c>
      <c r="F138" s="3">
        <v>7888</v>
      </c>
      <c r="G138" s="3">
        <v>4.8000000000000001E-2</v>
      </c>
      <c r="H138" s="3">
        <v>20</v>
      </c>
      <c r="I138" s="3">
        <v>78.099999999999994</v>
      </c>
      <c r="J138" s="3">
        <v>3.4</v>
      </c>
      <c r="K138" s="3">
        <v>0</v>
      </c>
      <c r="L138" s="3"/>
      <c r="M138" s="3">
        <v>633638.03</v>
      </c>
      <c r="N138" s="3">
        <v>99402.01</v>
      </c>
    </row>
    <row r="139" spans="1:14">
      <c r="A139" s="3" t="s">
        <v>66</v>
      </c>
      <c r="B139" s="4">
        <v>45689</v>
      </c>
      <c r="C139" s="3" t="s">
        <v>9</v>
      </c>
      <c r="D139" s="3" t="s">
        <v>28</v>
      </c>
      <c r="E139" s="3">
        <v>75109.67</v>
      </c>
      <c r="F139" s="3">
        <v>6244</v>
      </c>
      <c r="G139" s="3">
        <v>7.9000000000000001E-2</v>
      </c>
      <c r="H139" s="3">
        <v>15</v>
      </c>
      <c r="I139" s="3">
        <v>96.3</v>
      </c>
      <c r="J139" s="3">
        <v>7.38</v>
      </c>
      <c r="K139" s="3">
        <v>0</v>
      </c>
      <c r="L139" s="3">
        <v>3.7</v>
      </c>
      <c r="M139" s="3">
        <v>743348.84</v>
      </c>
      <c r="N139" s="3">
        <v>104186.09</v>
      </c>
    </row>
    <row r="140" spans="1:14">
      <c r="A140" s="3" t="s">
        <v>66</v>
      </c>
      <c r="B140" s="4">
        <v>45717</v>
      </c>
      <c r="C140" s="3" t="s">
        <v>9</v>
      </c>
      <c r="D140" s="3" t="s">
        <v>28</v>
      </c>
      <c r="E140" s="3">
        <v>69779</v>
      </c>
      <c r="F140" s="3">
        <v>6544</v>
      </c>
      <c r="G140" s="3">
        <v>0.152</v>
      </c>
      <c r="H140" s="3">
        <v>18</v>
      </c>
      <c r="I140" s="3">
        <v>90.2</v>
      </c>
      <c r="J140" s="3">
        <v>0.85</v>
      </c>
      <c r="K140" s="3">
        <v>1</v>
      </c>
      <c r="L140" s="3">
        <v>3.3</v>
      </c>
      <c r="M140" s="3">
        <v>758827.64</v>
      </c>
      <c r="N140" s="3">
        <v>161439.48000000001</v>
      </c>
    </row>
    <row r="141" spans="1:14">
      <c r="A141" s="3" t="s">
        <v>66</v>
      </c>
      <c r="B141" s="4">
        <v>45748</v>
      </c>
      <c r="C141" s="3" t="s">
        <v>9</v>
      </c>
      <c r="D141" s="3" t="s">
        <v>28</v>
      </c>
      <c r="E141" s="3">
        <v>44211.95</v>
      </c>
      <c r="F141" s="3">
        <v>5465</v>
      </c>
      <c r="G141" s="3">
        <v>0.187</v>
      </c>
      <c r="H141" s="3">
        <v>12</v>
      </c>
      <c r="I141" s="3">
        <v>90</v>
      </c>
      <c r="J141" s="3">
        <v>2.89</v>
      </c>
      <c r="K141" s="3">
        <v>0</v>
      </c>
      <c r="L141" s="3">
        <v>3.6</v>
      </c>
      <c r="M141" s="3">
        <v>646559.71</v>
      </c>
      <c r="N141" s="3">
        <v>97981.75</v>
      </c>
    </row>
    <row r="142" spans="1:14">
      <c r="A142" s="3" t="s">
        <v>67</v>
      </c>
      <c r="B142" s="4">
        <v>45658</v>
      </c>
      <c r="C142" s="3" t="s">
        <v>10</v>
      </c>
      <c r="D142" s="3" t="s">
        <v>30</v>
      </c>
      <c r="E142" s="3">
        <v>51430.31</v>
      </c>
      <c r="F142" s="3">
        <v>6427</v>
      </c>
      <c r="G142" s="3">
        <v>0.23400000000000001</v>
      </c>
      <c r="H142" s="3">
        <v>14</v>
      </c>
      <c r="I142" s="3">
        <v>88.8</v>
      </c>
      <c r="J142" s="3">
        <v>0.77</v>
      </c>
      <c r="K142" s="3">
        <v>0</v>
      </c>
      <c r="L142" s="3">
        <v>4.0999999999999996</v>
      </c>
      <c r="M142" s="3">
        <v>715890.53</v>
      </c>
      <c r="N142" s="3">
        <v>109032.15</v>
      </c>
    </row>
    <row r="143" spans="1:14">
      <c r="A143" s="3" t="s">
        <v>67</v>
      </c>
      <c r="B143" s="4">
        <v>45689</v>
      </c>
      <c r="C143" s="3" t="s">
        <v>10</v>
      </c>
      <c r="D143" s="3" t="s">
        <v>30</v>
      </c>
      <c r="E143" s="3">
        <v>45706.49</v>
      </c>
      <c r="F143" s="3">
        <v>6704</v>
      </c>
      <c r="G143" s="3">
        <v>3.7999999999999999E-2</v>
      </c>
      <c r="H143" s="3">
        <v>15</v>
      </c>
      <c r="I143" s="3">
        <v>94.2</v>
      </c>
      <c r="J143" s="3">
        <v>2.92</v>
      </c>
      <c r="K143" s="3">
        <v>0</v>
      </c>
      <c r="L143" s="3">
        <v>4.2</v>
      </c>
      <c r="M143" s="3">
        <v>715097.57</v>
      </c>
      <c r="N143" s="3">
        <v>151875.85999999999</v>
      </c>
    </row>
    <row r="144" spans="1:14">
      <c r="A144" s="3" t="s">
        <v>67</v>
      </c>
      <c r="B144" s="4">
        <v>45717</v>
      </c>
      <c r="C144" s="3" t="s">
        <v>10</v>
      </c>
      <c r="D144" s="3" t="s">
        <v>30</v>
      </c>
      <c r="E144" s="3">
        <v>44034.6</v>
      </c>
      <c r="F144" s="3">
        <v>5645</v>
      </c>
      <c r="G144" s="3">
        <v>6.9000000000000006E-2</v>
      </c>
      <c r="H144" s="3">
        <v>18</v>
      </c>
      <c r="I144" s="3">
        <v>88.5</v>
      </c>
      <c r="J144" s="3">
        <v>3.07</v>
      </c>
      <c r="K144" s="3">
        <v>0</v>
      </c>
      <c r="L144" s="3">
        <v>3.8</v>
      </c>
      <c r="M144" s="3">
        <v>682639.28</v>
      </c>
      <c r="N144" s="3">
        <v>77557.53</v>
      </c>
    </row>
    <row r="145" spans="1:14">
      <c r="A145" s="3" t="s">
        <v>67</v>
      </c>
      <c r="B145" s="4">
        <v>45748</v>
      </c>
      <c r="C145" s="3" t="s">
        <v>10</v>
      </c>
      <c r="D145" s="3" t="s">
        <v>30</v>
      </c>
      <c r="E145" s="3">
        <v>50198.12</v>
      </c>
      <c r="F145" s="3">
        <v>6089</v>
      </c>
      <c r="G145" s="3">
        <v>0.182</v>
      </c>
      <c r="H145" s="3">
        <v>19</v>
      </c>
      <c r="I145" s="3">
        <v>94</v>
      </c>
      <c r="J145" s="3">
        <v>9.6999999999999993</v>
      </c>
      <c r="K145" s="3">
        <v>0</v>
      </c>
      <c r="L145" s="3">
        <v>3.9</v>
      </c>
      <c r="M145" s="3">
        <v>695098.51</v>
      </c>
      <c r="N145" s="3">
        <v>108192.75</v>
      </c>
    </row>
    <row r="146" spans="1:14">
      <c r="A146" s="3" t="s">
        <v>68</v>
      </c>
      <c r="B146" s="4">
        <v>45658</v>
      </c>
      <c r="C146" s="3" t="s">
        <v>32</v>
      </c>
      <c r="D146" s="3" t="s">
        <v>28</v>
      </c>
      <c r="E146" s="3">
        <v>70488.2</v>
      </c>
      <c r="F146" s="3">
        <v>4312</v>
      </c>
      <c r="G146" s="3">
        <v>0.16900000000000001</v>
      </c>
      <c r="H146" s="3">
        <v>12</v>
      </c>
      <c r="I146" s="3">
        <v>90.2</v>
      </c>
      <c r="J146" s="3">
        <v>3.71</v>
      </c>
      <c r="K146" s="3">
        <v>0</v>
      </c>
      <c r="L146" s="3">
        <v>3.2</v>
      </c>
      <c r="M146" s="3">
        <v>577732.56999999995</v>
      </c>
      <c r="N146" s="3">
        <v>93804.27</v>
      </c>
    </row>
    <row r="147" spans="1:14">
      <c r="A147" s="3" t="s">
        <v>68</v>
      </c>
      <c r="B147" s="4">
        <v>45689</v>
      </c>
      <c r="C147" s="3" t="s">
        <v>32</v>
      </c>
      <c r="D147" s="3" t="s">
        <v>28</v>
      </c>
      <c r="E147" s="3">
        <v>50909.27</v>
      </c>
      <c r="F147" s="3">
        <v>3152</v>
      </c>
      <c r="G147" s="3">
        <v>0.06</v>
      </c>
      <c r="H147" s="3">
        <v>13</v>
      </c>
      <c r="I147" s="3">
        <v>93.7</v>
      </c>
      <c r="J147" s="3">
        <v>10.79</v>
      </c>
      <c r="K147" s="3">
        <v>0</v>
      </c>
      <c r="L147" s="3">
        <v>3.5</v>
      </c>
      <c r="M147" s="3">
        <v>537058.32999999996</v>
      </c>
      <c r="N147" s="3">
        <v>93555.71</v>
      </c>
    </row>
    <row r="148" spans="1:14">
      <c r="A148" s="3" t="s">
        <v>68</v>
      </c>
      <c r="B148" s="4">
        <v>45717</v>
      </c>
      <c r="C148" s="3" t="s">
        <v>32</v>
      </c>
      <c r="D148" s="3" t="s">
        <v>28</v>
      </c>
      <c r="E148" s="3">
        <v>53351.7</v>
      </c>
      <c r="F148" s="3">
        <v>4259</v>
      </c>
      <c r="G148" s="3">
        <v>0.156</v>
      </c>
      <c r="H148" s="3">
        <v>15</v>
      </c>
      <c r="I148" s="3">
        <v>93.7</v>
      </c>
      <c r="J148" s="3">
        <v>6.03</v>
      </c>
      <c r="K148" s="3">
        <v>0</v>
      </c>
      <c r="L148" s="3">
        <v>3.4</v>
      </c>
      <c r="M148" s="3">
        <v>601568.87</v>
      </c>
      <c r="N148" s="3">
        <v>91634.82</v>
      </c>
    </row>
    <row r="149" spans="1:14">
      <c r="A149" s="3" t="s">
        <v>68</v>
      </c>
      <c r="B149" s="4">
        <v>45748</v>
      </c>
      <c r="C149" s="3" t="s">
        <v>32</v>
      </c>
      <c r="D149" s="3" t="s">
        <v>28</v>
      </c>
      <c r="E149" s="3">
        <v>60322.400000000001</v>
      </c>
      <c r="F149" s="3">
        <v>3350</v>
      </c>
      <c r="G149" s="3">
        <v>0.108</v>
      </c>
      <c r="H149" s="3">
        <v>12</v>
      </c>
      <c r="I149" s="3">
        <v>89.4</v>
      </c>
      <c r="J149" s="3">
        <v>4.92</v>
      </c>
      <c r="K149" s="3">
        <v>0</v>
      </c>
      <c r="L149" s="3">
        <v>3.4</v>
      </c>
      <c r="M149" s="3">
        <v>570964.84</v>
      </c>
      <c r="N149" s="3">
        <v>81331.070000000007</v>
      </c>
    </row>
    <row r="150" spans="1:14">
      <c r="A150" s="3" t="s">
        <v>69</v>
      </c>
      <c r="B150" s="4">
        <v>45658</v>
      </c>
      <c r="C150" s="3" t="s">
        <v>9</v>
      </c>
      <c r="D150" s="3" t="s">
        <v>38</v>
      </c>
      <c r="E150" s="3">
        <v>51575.68</v>
      </c>
      <c r="F150" s="3">
        <v>5329</v>
      </c>
      <c r="G150" s="3">
        <v>4.7E-2</v>
      </c>
      <c r="H150" s="3">
        <v>17</v>
      </c>
      <c r="I150" s="3">
        <v>88.1</v>
      </c>
      <c r="J150" s="3">
        <v>19.78</v>
      </c>
      <c r="K150" s="3">
        <v>0</v>
      </c>
      <c r="L150" s="3">
        <v>3.8</v>
      </c>
      <c r="M150" s="3">
        <v>614024.91</v>
      </c>
      <c r="N150" s="3">
        <v>84828.93</v>
      </c>
    </row>
    <row r="151" spans="1:14">
      <c r="A151" s="3" t="s">
        <v>69</v>
      </c>
      <c r="B151" s="4">
        <v>45689</v>
      </c>
      <c r="C151" s="3" t="s">
        <v>9</v>
      </c>
      <c r="D151" s="3" t="s">
        <v>38</v>
      </c>
      <c r="E151" s="3">
        <v>43319.94</v>
      </c>
      <c r="F151" s="3">
        <v>6551</v>
      </c>
      <c r="G151" s="3">
        <v>4.3999999999999997E-2</v>
      </c>
      <c r="H151" s="3">
        <v>13</v>
      </c>
      <c r="I151" s="3">
        <v>99</v>
      </c>
      <c r="J151" s="3">
        <v>5.45</v>
      </c>
      <c r="K151" s="3">
        <v>0</v>
      </c>
      <c r="L151" s="3">
        <v>4.0999999999999996</v>
      </c>
      <c r="M151" s="3">
        <v>712868.35</v>
      </c>
      <c r="N151" s="3">
        <v>133650.51</v>
      </c>
    </row>
    <row r="152" spans="1:14">
      <c r="A152" s="3" t="s">
        <v>69</v>
      </c>
      <c r="B152" s="4">
        <v>45717</v>
      </c>
      <c r="C152" s="3" t="s">
        <v>9</v>
      </c>
      <c r="D152" s="3" t="s">
        <v>38</v>
      </c>
      <c r="E152" s="3">
        <v>47093.55</v>
      </c>
      <c r="F152" s="3">
        <v>5550</v>
      </c>
      <c r="G152" s="3">
        <v>0.1</v>
      </c>
      <c r="H152" s="3">
        <v>12</v>
      </c>
      <c r="I152" s="3">
        <v>95</v>
      </c>
      <c r="J152" s="3">
        <v>2.33</v>
      </c>
      <c r="K152" s="3">
        <v>1</v>
      </c>
      <c r="L152" s="3">
        <v>3.7</v>
      </c>
      <c r="M152" s="3">
        <v>696744.15</v>
      </c>
      <c r="N152" s="3">
        <v>152230.09</v>
      </c>
    </row>
    <row r="153" spans="1:14">
      <c r="A153" s="3" t="s">
        <v>69</v>
      </c>
      <c r="B153" s="4">
        <v>45748</v>
      </c>
      <c r="C153" s="3" t="s">
        <v>9</v>
      </c>
      <c r="D153" s="3" t="s">
        <v>38</v>
      </c>
      <c r="E153" s="3">
        <v>71855.09</v>
      </c>
      <c r="F153" s="3">
        <v>5911</v>
      </c>
      <c r="G153" s="3">
        <v>0.19700000000000001</v>
      </c>
      <c r="H153" s="3">
        <v>15</v>
      </c>
      <c r="I153" s="3">
        <v>94.3</v>
      </c>
      <c r="J153" s="3">
        <v>3.55</v>
      </c>
      <c r="K153" s="3">
        <v>0</v>
      </c>
      <c r="L153" s="3">
        <v>4.0999999999999996</v>
      </c>
      <c r="M153" s="3">
        <v>725847.99</v>
      </c>
      <c r="N153" s="3">
        <v>122698.73</v>
      </c>
    </row>
    <row r="154" spans="1:14">
      <c r="A154" s="3" t="s">
        <v>70</v>
      </c>
      <c r="B154" s="4">
        <v>45658</v>
      </c>
      <c r="C154" s="3" t="s">
        <v>8</v>
      </c>
      <c r="D154" s="3" t="s">
        <v>30</v>
      </c>
      <c r="E154" s="3">
        <v>75645.23</v>
      </c>
      <c r="F154" s="3">
        <v>9674</v>
      </c>
      <c r="G154" s="3">
        <v>0.23400000000000001</v>
      </c>
      <c r="H154" s="3">
        <v>21</v>
      </c>
      <c r="I154" s="3">
        <v>87.4</v>
      </c>
      <c r="J154" s="3">
        <v>0.2</v>
      </c>
      <c r="K154" s="3">
        <v>0</v>
      </c>
      <c r="L154" s="3">
        <v>4.5</v>
      </c>
      <c r="M154" s="3">
        <v>785028.25</v>
      </c>
      <c r="N154" s="3">
        <v>110726.44</v>
      </c>
    </row>
    <row r="155" spans="1:14">
      <c r="A155" s="3" t="s">
        <v>70</v>
      </c>
      <c r="B155" s="4">
        <v>45689</v>
      </c>
      <c r="C155" s="3" t="s">
        <v>8</v>
      </c>
      <c r="D155" s="3" t="s">
        <v>30</v>
      </c>
      <c r="E155" s="3">
        <v>64374.75</v>
      </c>
      <c r="F155" s="3">
        <v>6740</v>
      </c>
      <c r="G155" s="3">
        <v>0.16900000000000001</v>
      </c>
      <c r="H155" s="3">
        <v>18</v>
      </c>
      <c r="I155" s="3">
        <v>87</v>
      </c>
      <c r="J155" s="3">
        <v>2.09</v>
      </c>
      <c r="K155" s="3">
        <v>0</v>
      </c>
      <c r="L155" s="3">
        <v>4.2</v>
      </c>
      <c r="M155" s="3">
        <v>698492.67</v>
      </c>
      <c r="N155" s="3">
        <v>117319.32</v>
      </c>
    </row>
    <row r="156" spans="1:14">
      <c r="A156" s="3" t="s">
        <v>70</v>
      </c>
      <c r="B156" s="4">
        <v>45717</v>
      </c>
      <c r="C156" s="3" t="s">
        <v>8</v>
      </c>
      <c r="D156" s="3" t="s">
        <v>30</v>
      </c>
      <c r="E156" s="3">
        <v>61433.84</v>
      </c>
      <c r="F156" s="3">
        <v>7745</v>
      </c>
      <c r="G156" s="3">
        <v>0.18</v>
      </c>
      <c r="H156" s="3">
        <v>16</v>
      </c>
      <c r="I156" s="3">
        <v>90.5</v>
      </c>
      <c r="J156" s="3">
        <v>2.2599999999999998</v>
      </c>
      <c r="K156" s="3">
        <v>0</v>
      </c>
      <c r="L156" s="3">
        <v>4.2</v>
      </c>
      <c r="M156" s="3">
        <v>685830.24</v>
      </c>
      <c r="N156" s="3">
        <v>128736.18</v>
      </c>
    </row>
    <row r="157" spans="1:14">
      <c r="A157" s="3" t="s">
        <v>70</v>
      </c>
      <c r="B157" s="4">
        <v>45748</v>
      </c>
      <c r="C157" s="3" t="s">
        <v>8</v>
      </c>
      <c r="D157" s="3" t="s">
        <v>30</v>
      </c>
      <c r="E157" s="3">
        <v>42698.14</v>
      </c>
      <c r="F157" s="3">
        <v>7693</v>
      </c>
      <c r="G157" s="3">
        <v>0.187</v>
      </c>
      <c r="H157" s="3">
        <v>19</v>
      </c>
      <c r="I157" s="3">
        <v>90.1</v>
      </c>
      <c r="J157" s="3">
        <v>0.44</v>
      </c>
      <c r="K157" s="3">
        <v>0</v>
      </c>
      <c r="L157" s="3">
        <v>4.4000000000000004</v>
      </c>
      <c r="M157" s="3">
        <v>702318.94</v>
      </c>
      <c r="N157" s="3">
        <v>112829.29</v>
      </c>
    </row>
    <row r="158" spans="1:14">
      <c r="A158" s="3" t="s">
        <v>71</v>
      </c>
      <c r="B158" s="4">
        <v>45658</v>
      </c>
      <c r="C158" s="3" t="s">
        <v>32</v>
      </c>
      <c r="D158" s="3" t="s">
        <v>38</v>
      </c>
      <c r="E158" s="3">
        <v>86883.31</v>
      </c>
      <c r="F158" s="3">
        <v>6424</v>
      </c>
      <c r="G158" s="3">
        <v>5.7000000000000002E-2</v>
      </c>
      <c r="H158" s="3">
        <v>19</v>
      </c>
      <c r="I158" s="3">
        <v>85.2</v>
      </c>
      <c r="J158" s="3">
        <v>3.08</v>
      </c>
      <c r="K158" s="3">
        <v>0</v>
      </c>
      <c r="L158" s="3">
        <v>3.9</v>
      </c>
      <c r="M158" s="3">
        <v>700078.32</v>
      </c>
      <c r="N158" s="3">
        <v>123707.58</v>
      </c>
    </row>
    <row r="159" spans="1:14">
      <c r="A159" s="3" t="s">
        <v>71</v>
      </c>
      <c r="B159" s="4">
        <v>45689</v>
      </c>
      <c r="C159" s="3" t="s">
        <v>32</v>
      </c>
      <c r="D159" s="3" t="s">
        <v>38</v>
      </c>
      <c r="E159" s="3">
        <v>41863.08</v>
      </c>
      <c r="F159" s="3">
        <v>5400</v>
      </c>
      <c r="G159" s="3">
        <v>0.114</v>
      </c>
      <c r="H159" s="3">
        <v>11</v>
      </c>
      <c r="I159" s="3">
        <v>91.6</v>
      </c>
      <c r="J159" s="3">
        <v>7.99</v>
      </c>
      <c r="K159" s="3">
        <v>0</v>
      </c>
      <c r="L159" s="3">
        <v>3</v>
      </c>
      <c r="M159" s="3">
        <v>602002.31999999995</v>
      </c>
      <c r="N159" s="3">
        <v>110453.28</v>
      </c>
    </row>
    <row r="160" spans="1:14">
      <c r="A160" s="3" t="s">
        <v>71</v>
      </c>
      <c r="B160" s="4">
        <v>45717</v>
      </c>
      <c r="C160" s="3" t="s">
        <v>32</v>
      </c>
      <c r="D160" s="3" t="s">
        <v>38</v>
      </c>
      <c r="E160" s="3">
        <v>56918.16</v>
      </c>
      <c r="F160" s="3">
        <v>7015</v>
      </c>
      <c r="G160" s="3">
        <v>0.158</v>
      </c>
      <c r="H160" s="3">
        <v>18</v>
      </c>
      <c r="I160" s="3">
        <v>74.2</v>
      </c>
      <c r="J160" s="3">
        <v>0.2</v>
      </c>
      <c r="K160" s="3">
        <v>0</v>
      </c>
      <c r="L160" s="3">
        <v>3.4</v>
      </c>
      <c r="M160" s="3">
        <v>724216.07</v>
      </c>
      <c r="N160" s="3">
        <v>100627.56</v>
      </c>
    </row>
    <row r="161" spans="1:14">
      <c r="A161" s="3" t="s">
        <v>71</v>
      </c>
      <c r="B161" s="4">
        <v>45748</v>
      </c>
      <c r="C161" s="3" t="s">
        <v>32</v>
      </c>
      <c r="D161" s="3" t="s">
        <v>38</v>
      </c>
      <c r="E161" s="3">
        <v>23254.57</v>
      </c>
      <c r="F161" s="3">
        <v>3847</v>
      </c>
      <c r="G161" s="3">
        <v>0.159</v>
      </c>
      <c r="H161" s="3">
        <v>12</v>
      </c>
      <c r="I161" s="3">
        <v>93</v>
      </c>
      <c r="J161" s="3">
        <v>5.46</v>
      </c>
      <c r="K161" s="3">
        <v>0</v>
      </c>
      <c r="L161" s="3">
        <v>3.3</v>
      </c>
      <c r="M161" s="3">
        <v>620973.03</v>
      </c>
      <c r="N161" s="3">
        <v>72303.850000000006</v>
      </c>
    </row>
    <row r="162" spans="1:14">
      <c r="A162" s="3" t="s">
        <v>72</v>
      </c>
      <c r="B162" s="4">
        <v>45658</v>
      </c>
      <c r="C162" s="3" t="s">
        <v>9</v>
      </c>
      <c r="D162" s="3" t="s">
        <v>30</v>
      </c>
      <c r="E162" s="3">
        <v>41443.410000000003</v>
      </c>
      <c r="F162" s="3">
        <v>7455</v>
      </c>
      <c r="G162" s="3">
        <v>0.17499999999999999</v>
      </c>
      <c r="H162" s="3">
        <v>16</v>
      </c>
      <c r="I162" s="3">
        <v>90.1</v>
      </c>
      <c r="J162" s="3">
        <v>4.05</v>
      </c>
      <c r="K162" s="3">
        <v>0</v>
      </c>
      <c r="L162" s="3">
        <v>4</v>
      </c>
      <c r="M162" s="3">
        <v>650480.06000000006</v>
      </c>
      <c r="N162" s="3">
        <v>109012.07</v>
      </c>
    </row>
    <row r="163" spans="1:14">
      <c r="A163" s="3" t="s">
        <v>72</v>
      </c>
      <c r="B163" s="4">
        <v>45689</v>
      </c>
      <c r="C163" s="3" t="s">
        <v>9</v>
      </c>
      <c r="D163" s="3" t="s">
        <v>30</v>
      </c>
      <c r="E163" s="3">
        <v>48438.85</v>
      </c>
      <c r="F163" s="3">
        <v>6992</v>
      </c>
      <c r="G163" s="3">
        <v>3.4000000000000002E-2</v>
      </c>
      <c r="H163" s="3">
        <v>20</v>
      </c>
      <c r="I163" s="3">
        <v>91</v>
      </c>
      <c r="J163" s="3">
        <v>4.3600000000000003</v>
      </c>
      <c r="K163" s="3">
        <v>0</v>
      </c>
      <c r="L163" s="3">
        <v>4.2</v>
      </c>
      <c r="M163" s="3">
        <v>778298.88</v>
      </c>
      <c r="N163" s="3">
        <v>130076.72</v>
      </c>
    </row>
    <row r="164" spans="1:14">
      <c r="A164" s="3" t="s">
        <v>72</v>
      </c>
      <c r="B164" s="4">
        <v>45717</v>
      </c>
      <c r="C164" s="3" t="s">
        <v>9</v>
      </c>
      <c r="D164" s="3" t="s">
        <v>30</v>
      </c>
      <c r="E164" s="3">
        <v>57143.3</v>
      </c>
      <c r="F164" s="3">
        <v>8038</v>
      </c>
      <c r="G164" s="3">
        <v>0.193</v>
      </c>
      <c r="H164" s="3">
        <v>17</v>
      </c>
      <c r="I164" s="3">
        <v>72.599999999999994</v>
      </c>
      <c r="J164" s="3"/>
      <c r="K164" s="3">
        <v>0</v>
      </c>
      <c r="L164" s="3">
        <v>4.2</v>
      </c>
      <c r="M164" s="3">
        <v>677096.71</v>
      </c>
      <c r="N164" s="3">
        <v>97174.11</v>
      </c>
    </row>
    <row r="165" spans="1:14">
      <c r="A165" s="3" t="s">
        <v>72</v>
      </c>
      <c r="B165" s="4">
        <v>45748</v>
      </c>
      <c r="C165" s="3" t="s">
        <v>9</v>
      </c>
      <c r="D165" s="3" t="s">
        <v>30</v>
      </c>
      <c r="E165" s="3">
        <v>66870.62</v>
      </c>
      <c r="F165" s="3">
        <v>6055</v>
      </c>
      <c r="G165" s="3">
        <v>7.4999999999999997E-2</v>
      </c>
      <c r="H165" s="3">
        <v>19</v>
      </c>
      <c r="I165" s="3">
        <v>93.8</v>
      </c>
      <c r="J165" s="3">
        <v>0.54</v>
      </c>
      <c r="K165" s="3">
        <v>0</v>
      </c>
      <c r="L165" s="3">
        <v>4.3</v>
      </c>
      <c r="M165" s="3">
        <v>692008.64</v>
      </c>
      <c r="N165" s="3">
        <v>116337.87</v>
      </c>
    </row>
    <row r="166" spans="1:14">
      <c r="A166" s="3" t="s">
        <v>73</v>
      </c>
      <c r="B166" s="4">
        <v>45658</v>
      </c>
      <c r="C166" s="3" t="s">
        <v>32</v>
      </c>
      <c r="D166" s="3" t="s">
        <v>38</v>
      </c>
      <c r="E166" s="3">
        <v>72150.53</v>
      </c>
      <c r="F166" s="3">
        <v>9323</v>
      </c>
      <c r="G166" s="3">
        <v>0.157</v>
      </c>
      <c r="H166" s="3">
        <v>22</v>
      </c>
      <c r="I166" s="3">
        <v>82.9</v>
      </c>
      <c r="J166" s="3">
        <v>11.37</v>
      </c>
      <c r="K166" s="3">
        <v>1</v>
      </c>
      <c r="L166" s="3">
        <v>4.3</v>
      </c>
      <c r="M166" s="3">
        <v>825797.91</v>
      </c>
      <c r="N166" s="3">
        <v>130945.24</v>
      </c>
    </row>
    <row r="167" spans="1:14">
      <c r="A167" s="3" t="s">
        <v>73</v>
      </c>
      <c r="B167" s="4">
        <v>45689</v>
      </c>
      <c r="C167" s="3" t="s">
        <v>32</v>
      </c>
      <c r="D167" s="3" t="s">
        <v>38</v>
      </c>
      <c r="E167" s="3">
        <v>35303.300000000003</v>
      </c>
      <c r="F167" s="3">
        <v>8789</v>
      </c>
      <c r="G167" s="3">
        <v>0.123</v>
      </c>
      <c r="H167" s="3">
        <v>22</v>
      </c>
      <c r="I167" s="3">
        <v>86.1</v>
      </c>
      <c r="J167" s="3">
        <v>9.43</v>
      </c>
      <c r="K167" s="3">
        <v>0</v>
      </c>
      <c r="L167" s="3">
        <v>4.2</v>
      </c>
      <c r="M167" s="3">
        <v>706285.52</v>
      </c>
      <c r="N167" s="3">
        <v>138014.72</v>
      </c>
    </row>
    <row r="168" spans="1:14">
      <c r="A168" s="3" t="s">
        <v>73</v>
      </c>
      <c r="B168" s="4">
        <v>45717</v>
      </c>
      <c r="C168" s="3" t="s">
        <v>32</v>
      </c>
      <c r="D168" s="3" t="s">
        <v>38</v>
      </c>
      <c r="E168" s="3">
        <v>30301.86</v>
      </c>
      <c r="F168" s="3">
        <v>6939</v>
      </c>
      <c r="G168" s="3">
        <v>0.09</v>
      </c>
      <c r="H168" s="3">
        <v>16</v>
      </c>
      <c r="I168" s="3">
        <v>90.3</v>
      </c>
      <c r="J168" s="3">
        <v>3.49</v>
      </c>
      <c r="K168" s="3">
        <v>0</v>
      </c>
      <c r="L168" s="3">
        <v>4</v>
      </c>
      <c r="M168" s="3">
        <v>665534.69999999995</v>
      </c>
      <c r="N168" s="3">
        <v>113167.73</v>
      </c>
    </row>
    <row r="169" spans="1:14">
      <c r="A169" s="3" t="s">
        <v>73</v>
      </c>
      <c r="B169" s="4">
        <v>45748</v>
      </c>
      <c r="C169" s="3" t="s">
        <v>32</v>
      </c>
      <c r="D169" s="3" t="s">
        <v>38</v>
      </c>
      <c r="E169" s="3">
        <v>78432.14</v>
      </c>
      <c r="F169" s="3">
        <v>9440</v>
      </c>
      <c r="G169" s="3">
        <v>0.126</v>
      </c>
      <c r="H169" s="3">
        <v>23</v>
      </c>
      <c r="I169" s="3">
        <v>89.2</v>
      </c>
      <c r="J169" s="3">
        <v>7.86</v>
      </c>
      <c r="K169" s="3">
        <v>0</v>
      </c>
      <c r="L169" s="3">
        <v>4.0999999999999996</v>
      </c>
      <c r="M169" s="3">
        <v>820729.29</v>
      </c>
      <c r="N169" s="3">
        <v>159325.47</v>
      </c>
    </row>
    <row r="170" spans="1:14">
      <c r="A170" s="3" t="s">
        <v>74</v>
      </c>
      <c r="B170" s="4">
        <v>45658</v>
      </c>
      <c r="C170" s="3" t="s">
        <v>8</v>
      </c>
      <c r="D170" s="3" t="s">
        <v>28</v>
      </c>
      <c r="E170" s="3">
        <v>62059.18</v>
      </c>
      <c r="F170" s="3">
        <v>9374</v>
      </c>
      <c r="G170" s="3">
        <v>0.13600000000000001</v>
      </c>
      <c r="H170" s="3">
        <v>25</v>
      </c>
      <c r="I170" s="3">
        <v>87.1</v>
      </c>
      <c r="J170" s="3">
        <v>12.55</v>
      </c>
      <c r="K170" s="3">
        <v>0</v>
      </c>
      <c r="L170" s="3">
        <v>4.9000000000000004</v>
      </c>
      <c r="M170" s="3">
        <v>739831.73</v>
      </c>
      <c r="N170" s="3">
        <v>119490.21</v>
      </c>
    </row>
    <row r="171" spans="1:14">
      <c r="A171" s="3" t="s">
        <v>74</v>
      </c>
      <c r="B171" s="4">
        <v>45689</v>
      </c>
      <c r="C171" s="3" t="s">
        <v>8</v>
      </c>
      <c r="D171" s="3" t="s">
        <v>28</v>
      </c>
      <c r="E171" s="3">
        <v>32834.480000000003</v>
      </c>
      <c r="F171" s="3">
        <v>7576</v>
      </c>
      <c r="G171" s="3">
        <v>9.9000000000000005E-2</v>
      </c>
      <c r="H171" s="3">
        <v>15</v>
      </c>
      <c r="I171" s="3">
        <v>84.1</v>
      </c>
      <c r="J171" s="3">
        <v>3.48</v>
      </c>
      <c r="K171" s="3">
        <v>0</v>
      </c>
      <c r="L171" s="3">
        <v>5</v>
      </c>
      <c r="M171" s="3">
        <v>593637.14</v>
      </c>
      <c r="N171" s="3">
        <v>106648.14</v>
      </c>
    </row>
    <row r="172" spans="1:14">
      <c r="A172" s="3" t="s">
        <v>74</v>
      </c>
      <c r="B172" s="4">
        <v>45717</v>
      </c>
      <c r="C172" s="3" t="s">
        <v>8</v>
      </c>
      <c r="D172" s="3" t="s">
        <v>28</v>
      </c>
      <c r="E172" s="3">
        <v>50825.08</v>
      </c>
      <c r="F172" s="3">
        <v>8949</v>
      </c>
      <c r="G172" s="3">
        <v>0.157</v>
      </c>
      <c r="H172" s="3">
        <v>21</v>
      </c>
      <c r="I172" s="3">
        <v>84.7</v>
      </c>
      <c r="J172" s="3">
        <v>7.73</v>
      </c>
      <c r="K172" s="3">
        <v>0</v>
      </c>
      <c r="L172" s="3">
        <v>4.9000000000000004</v>
      </c>
      <c r="M172" s="3">
        <v>769702.76</v>
      </c>
      <c r="N172" s="3">
        <v>158697</v>
      </c>
    </row>
    <row r="173" spans="1:14">
      <c r="A173" s="3" t="s">
        <v>74</v>
      </c>
      <c r="B173" s="4">
        <v>45748</v>
      </c>
      <c r="C173" s="3" t="s">
        <v>8</v>
      </c>
      <c r="D173" s="3" t="s">
        <v>28</v>
      </c>
      <c r="E173" s="3">
        <v>36606.51</v>
      </c>
      <c r="F173" s="3">
        <v>7671</v>
      </c>
      <c r="G173" s="3">
        <v>0.11799999999999999</v>
      </c>
      <c r="H173" s="3">
        <v>18</v>
      </c>
      <c r="I173" s="3">
        <v>89.8</v>
      </c>
      <c r="J173" s="3">
        <v>0.25</v>
      </c>
      <c r="K173" s="3">
        <v>0</v>
      </c>
      <c r="L173" s="3">
        <v>4.4000000000000004</v>
      </c>
      <c r="M173" s="3">
        <v>679731.57</v>
      </c>
      <c r="N173" s="3">
        <v>121546.42</v>
      </c>
    </row>
    <row r="174" spans="1:14">
      <c r="A174" s="3" t="s">
        <v>75</v>
      </c>
      <c r="B174" s="4">
        <v>45658</v>
      </c>
      <c r="C174" s="3" t="s">
        <v>8</v>
      </c>
      <c r="D174" s="3" t="s">
        <v>28</v>
      </c>
      <c r="E174" s="3">
        <v>65237.79</v>
      </c>
      <c r="F174" s="3">
        <v>8741</v>
      </c>
      <c r="G174" s="3">
        <v>0.157</v>
      </c>
      <c r="H174" s="3">
        <v>20</v>
      </c>
      <c r="I174" s="3">
        <v>94.4</v>
      </c>
      <c r="J174" s="3">
        <v>6.43</v>
      </c>
      <c r="K174" s="3">
        <v>0</v>
      </c>
      <c r="L174" s="3">
        <v>3.3</v>
      </c>
      <c r="M174" s="3">
        <v>780344.18</v>
      </c>
      <c r="N174" s="3">
        <v>118239.09</v>
      </c>
    </row>
    <row r="175" spans="1:14">
      <c r="A175" s="3" t="s">
        <v>75</v>
      </c>
      <c r="B175" s="4">
        <v>45689</v>
      </c>
      <c r="C175" s="3" t="s">
        <v>8</v>
      </c>
      <c r="D175" s="3" t="s">
        <v>28</v>
      </c>
      <c r="E175" s="3">
        <v>43645.98</v>
      </c>
      <c r="F175" s="3">
        <v>9480</v>
      </c>
      <c r="G175" s="3">
        <v>0.109</v>
      </c>
      <c r="H175" s="3">
        <v>22</v>
      </c>
      <c r="I175" s="3">
        <v>89</v>
      </c>
      <c r="J175" s="3">
        <v>2.11</v>
      </c>
      <c r="K175" s="3">
        <v>0</v>
      </c>
      <c r="L175" s="3">
        <v>3.1</v>
      </c>
      <c r="M175" s="3">
        <v>721364.11</v>
      </c>
      <c r="N175" s="3">
        <v>147272.81</v>
      </c>
    </row>
    <row r="176" spans="1:14">
      <c r="A176" s="3" t="s">
        <v>75</v>
      </c>
      <c r="B176" s="4">
        <v>45717</v>
      </c>
      <c r="C176" s="3" t="s">
        <v>8</v>
      </c>
      <c r="D176" s="3" t="s">
        <v>28</v>
      </c>
      <c r="E176" s="3">
        <v>68040.149999999994</v>
      </c>
      <c r="F176" s="3">
        <v>9826</v>
      </c>
      <c r="G176" s="3">
        <v>0.125</v>
      </c>
      <c r="H176" s="3">
        <v>20</v>
      </c>
      <c r="I176" s="3">
        <v>83.9</v>
      </c>
      <c r="J176" s="3">
        <v>9.1199999999999992</v>
      </c>
      <c r="K176" s="3">
        <v>0</v>
      </c>
      <c r="L176" s="3">
        <v>3.6</v>
      </c>
      <c r="M176" s="3">
        <v>758138.29</v>
      </c>
      <c r="N176" s="3">
        <v>132975.26</v>
      </c>
    </row>
    <row r="177" spans="1:14">
      <c r="A177" s="3" t="s">
        <v>75</v>
      </c>
      <c r="B177" s="4">
        <v>45748</v>
      </c>
      <c r="C177" s="3" t="s">
        <v>8</v>
      </c>
      <c r="D177" s="3" t="s">
        <v>28</v>
      </c>
      <c r="E177" s="3">
        <v>63043.94</v>
      </c>
      <c r="F177" s="3">
        <v>10402</v>
      </c>
      <c r="G177" s="3">
        <v>0.159</v>
      </c>
      <c r="H177" s="3">
        <v>23</v>
      </c>
      <c r="I177" s="3">
        <v>93.9</v>
      </c>
      <c r="J177" s="3">
        <v>2.71</v>
      </c>
      <c r="K177" s="3">
        <v>0</v>
      </c>
      <c r="L177" s="3">
        <v>3.1</v>
      </c>
      <c r="M177" s="3">
        <v>804264</v>
      </c>
      <c r="N177" s="3">
        <v>167117.91</v>
      </c>
    </row>
    <row r="178" spans="1:14">
      <c r="A178" s="3" t="s">
        <v>76</v>
      </c>
      <c r="B178" s="4">
        <v>45658</v>
      </c>
      <c r="C178" s="3" t="s">
        <v>10</v>
      </c>
      <c r="D178" s="3" t="s">
        <v>33</v>
      </c>
      <c r="E178" s="3">
        <v>67494.09</v>
      </c>
      <c r="F178" s="3">
        <v>12361</v>
      </c>
      <c r="G178" s="3">
        <v>4.5999999999999999E-2</v>
      </c>
      <c r="H178" s="3">
        <v>24</v>
      </c>
      <c r="I178" s="3">
        <v>76.599999999999994</v>
      </c>
      <c r="J178" s="3">
        <v>3.65</v>
      </c>
      <c r="K178" s="3">
        <v>1</v>
      </c>
      <c r="L178" s="3">
        <v>3.7</v>
      </c>
      <c r="M178" s="3">
        <v>887537.75</v>
      </c>
      <c r="N178" s="3">
        <v>160362.92000000001</v>
      </c>
    </row>
    <row r="179" spans="1:14">
      <c r="A179" s="3" t="s">
        <v>76</v>
      </c>
      <c r="B179" s="4">
        <v>45689</v>
      </c>
      <c r="C179" s="3" t="s">
        <v>10</v>
      </c>
      <c r="D179" s="3" t="s">
        <v>33</v>
      </c>
      <c r="E179" s="3">
        <v>29389.32</v>
      </c>
      <c r="F179" s="3">
        <v>7925</v>
      </c>
      <c r="G179" s="3">
        <v>0.17699999999999999</v>
      </c>
      <c r="H179" s="3">
        <v>21</v>
      </c>
      <c r="I179" s="3">
        <v>90.9</v>
      </c>
      <c r="J179" s="3">
        <v>7.86</v>
      </c>
      <c r="K179" s="3">
        <v>0</v>
      </c>
      <c r="L179" s="3">
        <v>4</v>
      </c>
      <c r="M179" s="3">
        <v>783582</v>
      </c>
      <c r="N179" s="3">
        <v>130670.93</v>
      </c>
    </row>
    <row r="180" spans="1:14">
      <c r="A180" s="3" t="s">
        <v>76</v>
      </c>
      <c r="B180" s="4">
        <v>45717</v>
      </c>
      <c r="C180" s="3" t="s">
        <v>10</v>
      </c>
      <c r="D180" s="3" t="s">
        <v>33</v>
      </c>
      <c r="E180" s="3">
        <v>40535.089999999997</v>
      </c>
      <c r="F180" s="3">
        <v>8870</v>
      </c>
      <c r="G180" s="3">
        <v>4.1000000000000002E-2</v>
      </c>
      <c r="H180" s="3">
        <v>21</v>
      </c>
      <c r="I180" s="3">
        <v>86.6</v>
      </c>
      <c r="J180" s="3">
        <v>0.3</v>
      </c>
      <c r="K180" s="3">
        <v>0</v>
      </c>
      <c r="L180" s="3">
        <v>4.0999999999999996</v>
      </c>
      <c r="M180" s="3">
        <v>781955.52</v>
      </c>
      <c r="N180" s="3">
        <v>152578.71</v>
      </c>
    </row>
    <row r="181" spans="1:14">
      <c r="A181" s="3" t="s">
        <v>76</v>
      </c>
      <c r="B181" s="4">
        <v>45748</v>
      </c>
      <c r="C181" s="3" t="s">
        <v>10</v>
      </c>
      <c r="D181" s="3" t="s">
        <v>33</v>
      </c>
      <c r="E181" s="3">
        <v>74881.56</v>
      </c>
      <c r="F181" s="3">
        <v>9999</v>
      </c>
      <c r="G181" s="3">
        <v>1.2999999999999999E-2</v>
      </c>
      <c r="H181" s="3">
        <v>20</v>
      </c>
      <c r="I181" s="3">
        <v>89.6</v>
      </c>
      <c r="J181" s="3">
        <v>8.44</v>
      </c>
      <c r="K181" s="3">
        <v>0</v>
      </c>
      <c r="L181" s="3">
        <v>4.0999999999999996</v>
      </c>
      <c r="M181" s="3">
        <v>898031.04</v>
      </c>
      <c r="N181" s="3">
        <v>138666.5</v>
      </c>
    </row>
    <row r="182" spans="1:14">
      <c r="A182" s="3" t="s">
        <v>77</v>
      </c>
      <c r="B182" s="4">
        <v>45658</v>
      </c>
      <c r="C182" s="3" t="s">
        <v>10</v>
      </c>
      <c r="D182" s="3" t="s">
        <v>28</v>
      </c>
      <c r="E182" s="3">
        <v>68491.11</v>
      </c>
      <c r="F182" s="3">
        <v>11154</v>
      </c>
      <c r="G182" s="3">
        <v>1E-3</v>
      </c>
      <c r="H182" s="3">
        <v>24</v>
      </c>
      <c r="I182" s="3">
        <v>89.4</v>
      </c>
      <c r="J182" s="3">
        <v>5.27</v>
      </c>
      <c r="K182" s="3">
        <v>1</v>
      </c>
      <c r="L182" s="3">
        <v>3.9</v>
      </c>
      <c r="M182" s="3">
        <v>855341.28</v>
      </c>
      <c r="N182" s="3">
        <v>175823.8</v>
      </c>
    </row>
    <row r="183" spans="1:14">
      <c r="A183" s="3" t="s">
        <v>77</v>
      </c>
      <c r="B183" s="4">
        <v>45689</v>
      </c>
      <c r="C183" s="3" t="s">
        <v>10</v>
      </c>
      <c r="D183" s="3" t="s">
        <v>28</v>
      </c>
      <c r="E183" s="3">
        <v>45209.25</v>
      </c>
      <c r="F183" s="3">
        <v>9287</v>
      </c>
      <c r="G183" s="3">
        <v>0.14099999999999999</v>
      </c>
      <c r="H183" s="3">
        <v>22</v>
      </c>
      <c r="I183" s="3">
        <v>86.4</v>
      </c>
      <c r="J183" s="3">
        <v>13.22</v>
      </c>
      <c r="K183" s="3">
        <v>0</v>
      </c>
      <c r="L183" s="3">
        <v>3.6</v>
      </c>
      <c r="M183" s="3">
        <v>751393.88</v>
      </c>
      <c r="N183" s="3">
        <v>91480.320000000007</v>
      </c>
    </row>
    <row r="184" spans="1:14">
      <c r="A184" s="3" t="s">
        <v>77</v>
      </c>
      <c r="B184" s="4">
        <v>45717</v>
      </c>
      <c r="C184" s="3" t="s">
        <v>10</v>
      </c>
      <c r="D184" s="3" t="s">
        <v>28</v>
      </c>
      <c r="E184" s="3">
        <v>63010.23</v>
      </c>
      <c r="F184" s="3">
        <v>9812</v>
      </c>
      <c r="G184" s="3">
        <v>0.113</v>
      </c>
      <c r="H184" s="3">
        <v>24</v>
      </c>
      <c r="I184" s="3">
        <v>76.8</v>
      </c>
      <c r="J184" s="3">
        <v>1.02</v>
      </c>
      <c r="K184" s="3">
        <v>1</v>
      </c>
      <c r="L184" s="3">
        <v>3.8</v>
      </c>
      <c r="M184" s="3">
        <v>761077.08</v>
      </c>
      <c r="N184" s="3">
        <v>113605.93</v>
      </c>
    </row>
    <row r="185" spans="1:14">
      <c r="A185" s="3" t="s">
        <v>77</v>
      </c>
      <c r="B185" s="4">
        <v>45748</v>
      </c>
      <c r="C185" s="3" t="s">
        <v>10</v>
      </c>
      <c r="D185" s="3" t="s">
        <v>28</v>
      </c>
      <c r="E185" s="3">
        <v>57948.88</v>
      </c>
      <c r="F185" s="3">
        <v>10741</v>
      </c>
      <c r="G185" s="3">
        <v>7.0000000000000007E-2</v>
      </c>
      <c r="H185" s="3">
        <v>25</v>
      </c>
      <c r="I185" s="3">
        <v>90.1</v>
      </c>
      <c r="J185" s="3">
        <v>4.03</v>
      </c>
      <c r="K185" s="3">
        <v>0</v>
      </c>
      <c r="L185" s="3">
        <v>3.1</v>
      </c>
      <c r="M185" s="3">
        <v>819660.59</v>
      </c>
      <c r="N185" s="3">
        <v>172699.95</v>
      </c>
    </row>
    <row r="186" spans="1:14">
      <c r="A186" s="3" t="s">
        <v>78</v>
      </c>
      <c r="B186" s="4">
        <v>45658</v>
      </c>
      <c r="C186" s="3" t="s">
        <v>32</v>
      </c>
      <c r="D186" s="3" t="s">
        <v>30</v>
      </c>
      <c r="E186" s="3">
        <v>71941.62</v>
      </c>
      <c r="F186" s="3">
        <v>6084</v>
      </c>
      <c r="G186" s="3">
        <v>7.1999999999999995E-2</v>
      </c>
      <c r="H186" s="3">
        <v>13</v>
      </c>
      <c r="I186" s="3">
        <v>93.7</v>
      </c>
      <c r="J186" s="3">
        <v>2.34</v>
      </c>
      <c r="K186" s="3">
        <v>0</v>
      </c>
      <c r="L186" s="3">
        <v>4.4000000000000004</v>
      </c>
      <c r="M186" s="3">
        <v>681855.56</v>
      </c>
      <c r="N186" s="3">
        <v>117645.61</v>
      </c>
    </row>
    <row r="187" spans="1:14">
      <c r="A187" s="3" t="s">
        <v>78</v>
      </c>
      <c r="B187" s="4">
        <v>45689</v>
      </c>
      <c r="C187" s="3" t="s">
        <v>32</v>
      </c>
      <c r="D187" s="3" t="s">
        <v>30</v>
      </c>
      <c r="E187" s="3">
        <v>57147.88</v>
      </c>
      <c r="F187" s="3">
        <v>5252</v>
      </c>
      <c r="G187" s="3">
        <v>0.161</v>
      </c>
      <c r="H187" s="3">
        <v>15</v>
      </c>
      <c r="I187" s="3">
        <v>95.5</v>
      </c>
      <c r="J187" s="3">
        <v>8.51</v>
      </c>
      <c r="K187" s="3">
        <v>0</v>
      </c>
      <c r="L187" s="3">
        <v>4.4000000000000004</v>
      </c>
      <c r="M187" s="3">
        <v>678311.17</v>
      </c>
      <c r="N187" s="3">
        <v>132029.76000000001</v>
      </c>
    </row>
    <row r="188" spans="1:14">
      <c r="A188" s="3" t="s">
        <v>78</v>
      </c>
      <c r="B188" s="4">
        <v>45717</v>
      </c>
      <c r="C188" s="3" t="s">
        <v>32</v>
      </c>
      <c r="D188" s="3" t="s">
        <v>30</v>
      </c>
      <c r="E188" s="3">
        <v>48031.74</v>
      </c>
      <c r="F188" s="3">
        <v>6516</v>
      </c>
      <c r="G188" s="3">
        <v>6.7000000000000004E-2</v>
      </c>
      <c r="H188" s="3">
        <v>14</v>
      </c>
      <c r="I188" s="3">
        <v>99</v>
      </c>
      <c r="J188" s="3">
        <v>0.48</v>
      </c>
      <c r="K188" s="3">
        <v>1</v>
      </c>
      <c r="L188" s="3">
        <v>4.3</v>
      </c>
      <c r="M188" s="3">
        <v>765906.95</v>
      </c>
      <c r="N188" s="3">
        <v>114005.9</v>
      </c>
    </row>
    <row r="189" spans="1:14">
      <c r="A189" s="3" t="s">
        <v>78</v>
      </c>
      <c r="B189" s="4">
        <v>45748</v>
      </c>
      <c r="C189" s="3" t="s">
        <v>32</v>
      </c>
      <c r="D189" s="3" t="s">
        <v>30</v>
      </c>
      <c r="E189" s="3">
        <v>72784.800000000003</v>
      </c>
      <c r="F189" s="3">
        <v>7932</v>
      </c>
      <c r="G189" s="3">
        <v>9.4E-2</v>
      </c>
      <c r="H189" s="3">
        <v>20</v>
      </c>
      <c r="I189" s="3">
        <v>74.900000000000006</v>
      </c>
      <c r="J189" s="3">
        <v>13.62</v>
      </c>
      <c r="K189" s="3">
        <v>0</v>
      </c>
      <c r="L189" s="3">
        <v>4.2</v>
      </c>
      <c r="M189" s="3">
        <v>712546.38</v>
      </c>
      <c r="N189" s="3">
        <v>101480.04</v>
      </c>
    </row>
    <row r="190" spans="1:14">
      <c r="A190" s="3" t="s">
        <v>79</v>
      </c>
      <c r="B190" s="4">
        <v>45658</v>
      </c>
      <c r="C190" s="3" t="s">
        <v>8</v>
      </c>
      <c r="D190" s="3" t="s">
        <v>30</v>
      </c>
      <c r="E190" s="3">
        <v>71641.899999999994</v>
      </c>
      <c r="F190" s="3">
        <v>3506</v>
      </c>
      <c r="G190" s="3">
        <v>0</v>
      </c>
      <c r="H190" s="3">
        <v>11</v>
      </c>
      <c r="I190" s="3">
        <v>86.4</v>
      </c>
      <c r="J190" s="3">
        <v>7.77</v>
      </c>
      <c r="K190" s="3">
        <v>0</v>
      </c>
      <c r="L190" s="3">
        <v>4.0999999999999996</v>
      </c>
      <c r="M190" s="3">
        <v>625993.82999999996</v>
      </c>
      <c r="N190" s="3">
        <v>98960.320000000007</v>
      </c>
    </row>
    <row r="191" spans="1:14">
      <c r="A191" s="3" t="s">
        <v>79</v>
      </c>
      <c r="B191" s="4">
        <v>45689</v>
      </c>
      <c r="C191" s="3" t="s">
        <v>8</v>
      </c>
      <c r="D191" s="3" t="s">
        <v>30</v>
      </c>
      <c r="E191" s="3">
        <v>55788.61</v>
      </c>
      <c r="F191" s="3">
        <v>2312</v>
      </c>
      <c r="G191" s="3">
        <v>5.8000000000000003E-2</v>
      </c>
      <c r="H191" s="3">
        <v>10</v>
      </c>
      <c r="I191" s="3">
        <v>91.3</v>
      </c>
      <c r="J191" s="3">
        <v>1.99</v>
      </c>
      <c r="K191" s="3">
        <v>0</v>
      </c>
      <c r="L191" s="3">
        <v>3.8</v>
      </c>
      <c r="M191" s="3">
        <v>550962.93000000005</v>
      </c>
      <c r="N191" s="3">
        <v>97144.58</v>
      </c>
    </row>
    <row r="192" spans="1:14">
      <c r="A192" s="3" t="s">
        <v>79</v>
      </c>
      <c r="B192" s="4">
        <v>45717</v>
      </c>
      <c r="C192" s="3" t="s">
        <v>8</v>
      </c>
      <c r="D192" s="3" t="s">
        <v>30</v>
      </c>
      <c r="E192" s="3">
        <v>37705.879999999997</v>
      </c>
      <c r="F192" s="3">
        <v>1268</v>
      </c>
      <c r="G192" s="3">
        <v>0.25900000000000001</v>
      </c>
      <c r="H192" s="3">
        <v>9</v>
      </c>
      <c r="I192" s="3">
        <v>84.1</v>
      </c>
      <c r="J192" s="3">
        <v>4.7699999999999996</v>
      </c>
      <c r="K192" s="3">
        <v>0</v>
      </c>
      <c r="L192" s="3">
        <v>3.8</v>
      </c>
      <c r="M192" s="3">
        <v>443275.59</v>
      </c>
      <c r="N192" s="3">
        <v>53544.36</v>
      </c>
    </row>
    <row r="193" spans="1:14">
      <c r="A193" s="3" t="s">
        <v>79</v>
      </c>
      <c r="B193" s="4">
        <v>45748</v>
      </c>
      <c r="C193" s="3" t="s">
        <v>8</v>
      </c>
      <c r="D193" s="3" t="s">
        <v>30</v>
      </c>
      <c r="E193" s="3">
        <v>54966.18</v>
      </c>
      <c r="F193" s="3">
        <v>4423</v>
      </c>
      <c r="G193" s="3">
        <v>0.186</v>
      </c>
      <c r="H193" s="3">
        <v>13</v>
      </c>
      <c r="I193" s="3">
        <v>88.7</v>
      </c>
      <c r="J193" s="3">
        <v>0.2</v>
      </c>
      <c r="K193" s="3">
        <v>0</v>
      </c>
      <c r="L193" s="3">
        <v>4.4000000000000004</v>
      </c>
      <c r="M193" s="3">
        <v>554012.06999999995</v>
      </c>
      <c r="N193" s="3">
        <v>81101.62</v>
      </c>
    </row>
    <row r="194" spans="1:14">
      <c r="A194" s="3" t="s">
        <v>80</v>
      </c>
      <c r="B194" s="4">
        <v>45658</v>
      </c>
      <c r="C194" s="3" t="s">
        <v>10</v>
      </c>
      <c r="D194" s="3" t="s">
        <v>28</v>
      </c>
      <c r="E194" s="3">
        <v>81796.740000000005</v>
      </c>
      <c r="F194" s="3">
        <v>6177</v>
      </c>
      <c r="G194" s="3">
        <v>0.16400000000000001</v>
      </c>
      <c r="H194" s="3">
        <v>14</v>
      </c>
      <c r="I194" s="3">
        <v>87.9</v>
      </c>
      <c r="J194" s="3">
        <v>0.53</v>
      </c>
      <c r="K194" s="3">
        <v>0</v>
      </c>
      <c r="L194" s="3">
        <v>3.2</v>
      </c>
      <c r="M194" s="3">
        <v>643428.85</v>
      </c>
      <c r="N194" s="3">
        <v>94477.63</v>
      </c>
    </row>
    <row r="195" spans="1:14">
      <c r="A195" s="3" t="s">
        <v>80</v>
      </c>
      <c r="B195" s="4">
        <v>45689</v>
      </c>
      <c r="C195" s="3" t="s">
        <v>10</v>
      </c>
      <c r="D195" s="3" t="s">
        <v>28</v>
      </c>
      <c r="E195" s="3">
        <v>51133.43</v>
      </c>
      <c r="F195" s="3">
        <v>5150</v>
      </c>
      <c r="G195" s="3">
        <v>0.15</v>
      </c>
      <c r="H195" s="3">
        <v>12</v>
      </c>
      <c r="I195" s="3">
        <v>88.5</v>
      </c>
      <c r="J195" s="3">
        <v>1.54</v>
      </c>
      <c r="K195" s="3">
        <v>0</v>
      </c>
      <c r="L195" s="3">
        <v>3.2</v>
      </c>
      <c r="M195" s="3">
        <v>611924.27</v>
      </c>
      <c r="N195" s="3">
        <v>115488.75</v>
      </c>
    </row>
    <row r="196" spans="1:14">
      <c r="A196" s="3" t="s">
        <v>80</v>
      </c>
      <c r="B196" s="4">
        <v>45717</v>
      </c>
      <c r="C196" s="3" t="s">
        <v>10</v>
      </c>
      <c r="D196" s="3" t="s">
        <v>28</v>
      </c>
      <c r="E196" s="3">
        <v>40220.18</v>
      </c>
      <c r="F196" s="3">
        <v>3783</v>
      </c>
      <c r="G196" s="3">
        <v>8.8999999999999996E-2</v>
      </c>
      <c r="H196" s="3">
        <v>14</v>
      </c>
      <c r="I196" s="3">
        <v>86.6</v>
      </c>
      <c r="J196" s="3">
        <v>3.63</v>
      </c>
      <c r="K196" s="3">
        <v>0</v>
      </c>
      <c r="L196" s="3">
        <v>3.7</v>
      </c>
      <c r="M196" s="3">
        <v>559422.02</v>
      </c>
      <c r="N196" s="3">
        <v>73528.740000000005</v>
      </c>
    </row>
    <row r="197" spans="1:14">
      <c r="A197" s="3" t="s">
        <v>80</v>
      </c>
      <c r="B197" s="4">
        <v>45748</v>
      </c>
      <c r="C197" s="3" t="s">
        <v>10</v>
      </c>
      <c r="D197" s="3" t="s">
        <v>28</v>
      </c>
      <c r="E197" s="3">
        <v>41657.64</v>
      </c>
      <c r="F197" s="3">
        <v>3135</v>
      </c>
      <c r="G197" s="3">
        <v>0.22900000000000001</v>
      </c>
      <c r="H197" s="3">
        <v>7</v>
      </c>
      <c r="I197" s="3">
        <v>85.4</v>
      </c>
      <c r="J197" s="3">
        <v>13.48</v>
      </c>
      <c r="K197" s="3">
        <v>0</v>
      </c>
      <c r="L197" s="3"/>
      <c r="M197" s="3">
        <v>449465.06</v>
      </c>
      <c r="N197" s="3">
        <v>65694.78</v>
      </c>
    </row>
    <row r="198" spans="1:14">
      <c r="A198" s="3" t="s">
        <v>81</v>
      </c>
      <c r="B198" s="4">
        <v>45658</v>
      </c>
      <c r="C198" s="3" t="s">
        <v>32</v>
      </c>
      <c r="D198" s="3" t="s">
        <v>28</v>
      </c>
      <c r="E198" s="3">
        <v>71851.45</v>
      </c>
      <c r="F198" s="3">
        <v>4970</v>
      </c>
      <c r="G198" s="3">
        <v>9.8000000000000004E-2</v>
      </c>
      <c r="H198" s="3">
        <v>11</v>
      </c>
      <c r="I198" s="3">
        <v>89.6</v>
      </c>
      <c r="J198" s="3">
        <v>0.2</v>
      </c>
      <c r="K198" s="3">
        <v>0</v>
      </c>
      <c r="L198" s="3">
        <v>4.2</v>
      </c>
      <c r="M198" s="3">
        <v>691447.43</v>
      </c>
      <c r="N198" s="3">
        <v>114077.69</v>
      </c>
    </row>
    <row r="199" spans="1:14">
      <c r="A199" s="3" t="s">
        <v>81</v>
      </c>
      <c r="B199" s="4">
        <v>45689</v>
      </c>
      <c r="C199" s="3" t="s">
        <v>32</v>
      </c>
      <c r="D199" s="3" t="s">
        <v>28</v>
      </c>
      <c r="E199" s="3">
        <v>54002.83</v>
      </c>
      <c r="F199" s="3">
        <v>4366</v>
      </c>
      <c r="G199" s="3">
        <v>2.7E-2</v>
      </c>
      <c r="H199" s="3">
        <v>15</v>
      </c>
      <c r="I199" s="3">
        <v>90.6</v>
      </c>
      <c r="J199" s="3">
        <v>12.82</v>
      </c>
      <c r="K199" s="3">
        <v>0</v>
      </c>
      <c r="L199" s="3">
        <v>4.5999999999999996</v>
      </c>
      <c r="M199" s="3">
        <v>574066.61</v>
      </c>
      <c r="N199" s="3">
        <v>124674.67</v>
      </c>
    </row>
    <row r="200" spans="1:14">
      <c r="A200" s="3" t="s">
        <v>81</v>
      </c>
      <c r="B200" s="4">
        <v>45717</v>
      </c>
      <c r="C200" s="3" t="s">
        <v>32</v>
      </c>
      <c r="D200" s="3" t="s">
        <v>28</v>
      </c>
      <c r="E200" s="3">
        <v>54479.33</v>
      </c>
      <c r="F200" s="3">
        <v>5012</v>
      </c>
      <c r="G200" s="3">
        <v>0.28399999999999997</v>
      </c>
      <c r="H200" s="3">
        <v>13</v>
      </c>
      <c r="I200" s="3">
        <v>86</v>
      </c>
      <c r="J200" s="3">
        <v>2.2400000000000002</v>
      </c>
      <c r="K200" s="3">
        <v>1</v>
      </c>
      <c r="L200" s="3">
        <v>4.3</v>
      </c>
      <c r="M200" s="3">
        <v>578949.84</v>
      </c>
      <c r="N200" s="3">
        <v>80253.649999999994</v>
      </c>
    </row>
    <row r="201" spans="1:14">
      <c r="A201" s="3" t="s">
        <v>81</v>
      </c>
      <c r="B201" s="4">
        <v>45748</v>
      </c>
      <c r="C201" s="3" t="s">
        <v>32</v>
      </c>
      <c r="D201" s="3" t="s">
        <v>28</v>
      </c>
      <c r="E201" s="3">
        <v>61391.8</v>
      </c>
      <c r="F201" s="3">
        <v>5575</v>
      </c>
      <c r="G201" s="3">
        <v>0.189</v>
      </c>
      <c r="H201" s="3">
        <v>18</v>
      </c>
      <c r="I201" s="3">
        <v>90</v>
      </c>
      <c r="J201" s="3">
        <v>1.8</v>
      </c>
      <c r="K201" s="3">
        <v>0</v>
      </c>
      <c r="L201" s="3">
        <v>4.8</v>
      </c>
      <c r="M201" s="3">
        <v>735786.64</v>
      </c>
      <c r="N201" s="3">
        <v>126540.66</v>
      </c>
    </row>
    <row r="202" spans="1:14">
      <c r="A202" s="3" t="s">
        <v>82</v>
      </c>
      <c r="B202" s="4">
        <v>45658</v>
      </c>
      <c r="C202" s="3" t="s">
        <v>8</v>
      </c>
      <c r="D202" s="3" t="s">
        <v>33</v>
      </c>
      <c r="E202" s="3">
        <v>22312.93</v>
      </c>
      <c r="F202" s="3">
        <v>5955</v>
      </c>
      <c r="G202" s="3">
        <v>0.123</v>
      </c>
      <c r="H202" s="3">
        <v>13</v>
      </c>
      <c r="I202" s="3">
        <v>84.2</v>
      </c>
      <c r="J202" s="3">
        <v>0.41</v>
      </c>
      <c r="K202" s="3">
        <v>1</v>
      </c>
      <c r="L202" s="3">
        <v>4.5999999999999996</v>
      </c>
      <c r="M202" s="3">
        <v>598904.9</v>
      </c>
      <c r="N202" s="3">
        <v>72861</v>
      </c>
    </row>
    <row r="203" spans="1:14">
      <c r="A203" s="3" t="s">
        <v>82</v>
      </c>
      <c r="B203" s="4">
        <v>45689</v>
      </c>
      <c r="C203" s="3" t="s">
        <v>8</v>
      </c>
      <c r="D203" s="3" t="s">
        <v>33</v>
      </c>
      <c r="E203" s="3">
        <v>78111.97</v>
      </c>
      <c r="F203" s="3">
        <v>6389</v>
      </c>
      <c r="G203" s="3">
        <v>0.15</v>
      </c>
      <c r="H203" s="3">
        <v>13</v>
      </c>
      <c r="I203" s="3">
        <v>83.9</v>
      </c>
      <c r="J203" s="3">
        <v>3.05</v>
      </c>
      <c r="K203" s="3">
        <v>0</v>
      </c>
      <c r="L203" s="3">
        <v>4.8</v>
      </c>
      <c r="M203" s="3">
        <v>787715.51</v>
      </c>
      <c r="N203" s="3">
        <v>128969.62</v>
      </c>
    </row>
    <row r="204" spans="1:14">
      <c r="A204" s="3" t="s">
        <v>82</v>
      </c>
      <c r="B204" s="4">
        <v>45717</v>
      </c>
      <c r="C204" s="3" t="s">
        <v>8</v>
      </c>
      <c r="D204" s="3" t="s">
        <v>33</v>
      </c>
      <c r="E204" s="3">
        <v>35203.230000000003</v>
      </c>
      <c r="F204" s="3">
        <v>6896</v>
      </c>
      <c r="G204" s="3">
        <v>3.2000000000000001E-2</v>
      </c>
      <c r="H204" s="3">
        <v>14</v>
      </c>
      <c r="I204" s="3">
        <v>80.8</v>
      </c>
      <c r="J204" s="3">
        <v>8.44</v>
      </c>
      <c r="K204" s="3">
        <v>1</v>
      </c>
      <c r="L204" s="3">
        <v>5</v>
      </c>
      <c r="M204" s="3">
        <v>607084.92000000004</v>
      </c>
      <c r="N204" s="3">
        <v>98558.49</v>
      </c>
    </row>
    <row r="205" spans="1:14">
      <c r="A205" s="3" t="s">
        <v>82</v>
      </c>
      <c r="B205" s="4">
        <v>45748</v>
      </c>
      <c r="C205" s="3" t="s">
        <v>8</v>
      </c>
      <c r="D205" s="3" t="s">
        <v>33</v>
      </c>
      <c r="E205" s="3">
        <v>64104.28</v>
      </c>
      <c r="F205" s="3">
        <v>6015</v>
      </c>
      <c r="G205" s="3">
        <v>0.127</v>
      </c>
      <c r="H205" s="3">
        <v>15</v>
      </c>
      <c r="I205" s="3">
        <v>88.7</v>
      </c>
      <c r="J205" s="3">
        <v>0.78</v>
      </c>
      <c r="K205" s="3">
        <v>0</v>
      </c>
      <c r="L205" s="3">
        <v>4</v>
      </c>
      <c r="M205" s="3">
        <v>650795.49</v>
      </c>
      <c r="N205" s="3">
        <v>103035.89</v>
      </c>
    </row>
    <row r="206" spans="1:14">
      <c r="A206" s="3" t="s">
        <v>83</v>
      </c>
      <c r="B206" s="4">
        <v>45658</v>
      </c>
      <c r="C206" s="3" t="s">
        <v>8</v>
      </c>
      <c r="D206" s="3" t="s">
        <v>38</v>
      </c>
      <c r="E206" s="3">
        <v>92090.14</v>
      </c>
      <c r="F206" s="3">
        <v>9476</v>
      </c>
      <c r="G206" s="3">
        <v>7.0000000000000007E-2</v>
      </c>
      <c r="H206" s="3">
        <v>24</v>
      </c>
      <c r="I206" s="3">
        <v>94.3</v>
      </c>
      <c r="J206" s="3">
        <v>0.87</v>
      </c>
      <c r="K206" s="3">
        <v>0</v>
      </c>
      <c r="L206" s="3">
        <v>3.7</v>
      </c>
      <c r="M206" s="3">
        <v>825060.52</v>
      </c>
      <c r="N206" s="3">
        <v>143613.15</v>
      </c>
    </row>
    <row r="207" spans="1:14">
      <c r="A207" s="3" t="s">
        <v>83</v>
      </c>
      <c r="B207" s="4">
        <v>45689</v>
      </c>
      <c r="C207" s="3" t="s">
        <v>8</v>
      </c>
      <c r="D207" s="3" t="s">
        <v>38</v>
      </c>
      <c r="E207" s="3">
        <v>54300.87</v>
      </c>
      <c r="F207" s="3">
        <v>7875</v>
      </c>
      <c r="G207" s="3">
        <v>0.107</v>
      </c>
      <c r="H207" s="3">
        <v>19</v>
      </c>
      <c r="I207" s="3">
        <v>94.1</v>
      </c>
      <c r="J207" s="3">
        <v>0.95</v>
      </c>
      <c r="K207" s="3">
        <v>0</v>
      </c>
      <c r="L207" s="3">
        <v>3.7</v>
      </c>
      <c r="M207" s="3">
        <v>795464.47</v>
      </c>
      <c r="N207" s="3">
        <v>161150.51999999999</v>
      </c>
    </row>
    <row r="208" spans="1:14">
      <c r="A208" s="3" t="s">
        <v>83</v>
      </c>
      <c r="B208" s="4">
        <v>45717</v>
      </c>
      <c r="C208" s="3" t="s">
        <v>8</v>
      </c>
      <c r="D208" s="3" t="s">
        <v>38</v>
      </c>
      <c r="E208" s="3">
        <v>37983.35</v>
      </c>
      <c r="F208" s="3">
        <v>9283</v>
      </c>
      <c r="G208" s="3">
        <v>0.14899999999999999</v>
      </c>
      <c r="H208" s="3">
        <v>19</v>
      </c>
      <c r="I208" s="3">
        <v>83.2</v>
      </c>
      <c r="J208" s="3">
        <v>3.82</v>
      </c>
      <c r="K208" s="3">
        <v>0</v>
      </c>
      <c r="L208" s="3">
        <v>3.7</v>
      </c>
      <c r="M208" s="3">
        <v>671868.59</v>
      </c>
      <c r="N208" s="3">
        <v>71003.28</v>
      </c>
    </row>
    <row r="209" spans="1:14">
      <c r="A209" s="3" t="s">
        <v>83</v>
      </c>
      <c r="B209" s="4">
        <v>45748</v>
      </c>
      <c r="C209" s="3" t="s">
        <v>8</v>
      </c>
      <c r="D209" s="3" t="s">
        <v>38</v>
      </c>
      <c r="E209" s="3">
        <v>56413.83</v>
      </c>
      <c r="F209" s="3">
        <v>8303</v>
      </c>
      <c r="G209" s="3">
        <v>0.11600000000000001</v>
      </c>
      <c r="H209" s="3">
        <v>18</v>
      </c>
      <c r="I209" s="3">
        <v>93.6</v>
      </c>
      <c r="J209" s="3">
        <v>2.7</v>
      </c>
      <c r="K209" s="3">
        <v>0</v>
      </c>
      <c r="L209" s="3">
        <v>3.7</v>
      </c>
      <c r="M209" s="3">
        <v>675917.63</v>
      </c>
      <c r="N209" s="3">
        <v>112564.75</v>
      </c>
    </row>
    <row r="210" spans="1:14">
      <c r="A210" s="3" t="s">
        <v>84</v>
      </c>
      <c r="B210" s="4">
        <v>45658</v>
      </c>
      <c r="C210" s="3" t="s">
        <v>8</v>
      </c>
      <c r="D210" s="3" t="s">
        <v>30</v>
      </c>
      <c r="E210" s="3">
        <v>63457.19</v>
      </c>
      <c r="F210" s="3">
        <v>10125</v>
      </c>
      <c r="G210" s="3">
        <v>9.7000000000000003E-2</v>
      </c>
      <c r="H210" s="3">
        <v>24</v>
      </c>
      <c r="I210" s="3">
        <v>87</v>
      </c>
      <c r="J210" s="3">
        <v>3.84</v>
      </c>
      <c r="K210" s="3">
        <v>1</v>
      </c>
      <c r="L210" s="3">
        <v>3.7</v>
      </c>
      <c r="M210" s="3">
        <v>810446.53</v>
      </c>
      <c r="N210" s="3">
        <v>200575.34</v>
      </c>
    </row>
    <row r="211" spans="1:14">
      <c r="A211" s="3" t="s">
        <v>84</v>
      </c>
      <c r="B211" s="4">
        <v>45689</v>
      </c>
      <c r="C211" s="3" t="s">
        <v>8</v>
      </c>
      <c r="D211" s="3" t="s">
        <v>30</v>
      </c>
      <c r="E211" s="3">
        <v>62949.7</v>
      </c>
      <c r="F211" s="3">
        <v>9458</v>
      </c>
      <c r="G211" s="3">
        <v>0.17100000000000001</v>
      </c>
      <c r="H211" s="3">
        <v>19</v>
      </c>
      <c r="I211" s="3">
        <v>84.9</v>
      </c>
      <c r="J211" s="3">
        <v>5.09</v>
      </c>
      <c r="K211" s="3">
        <v>0</v>
      </c>
      <c r="L211" s="3">
        <v>3.3</v>
      </c>
      <c r="M211" s="3">
        <v>691288.19</v>
      </c>
      <c r="N211" s="3">
        <v>159074.14000000001</v>
      </c>
    </row>
    <row r="212" spans="1:14">
      <c r="A212" s="3" t="s">
        <v>84</v>
      </c>
      <c r="B212" s="4">
        <v>45717</v>
      </c>
      <c r="C212" s="3" t="s">
        <v>8</v>
      </c>
      <c r="D212" s="3" t="s">
        <v>30</v>
      </c>
      <c r="E212" s="3">
        <v>107970.19</v>
      </c>
      <c r="F212" s="3">
        <v>12870</v>
      </c>
      <c r="G212" s="3">
        <v>2.9000000000000001E-2</v>
      </c>
      <c r="H212" s="3">
        <v>31</v>
      </c>
      <c r="I212" s="3">
        <v>91.7</v>
      </c>
      <c r="J212" s="3">
        <v>3.82</v>
      </c>
      <c r="K212" s="3">
        <v>1</v>
      </c>
      <c r="L212" s="3">
        <v>3.7</v>
      </c>
      <c r="M212" s="3">
        <v>946833.54</v>
      </c>
      <c r="N212" s="3">
        <v>184540.31</v>
      </c>
    </row>
    <row r="213" spans="1:14">
      <c r="A213" s="3" t="s">
        <v>84</v>
      </c>
      <c r="B213" s="4">
        <v>45748</v>
      </c>
      <c r="C213" s="3" t="s">
        <v>8</v>
      </c>
      <c r="D213" s="3" t="s">
        <v>30</v>
      </c>
      <c r="E213" s="3">
        <v>49405.75</v>
      </c>
      <c r="F213" s="3">
        <v>9752</v>
      </c>
      <c r="G213" s="3">
        <v>9.2999999999999999E-2</v>
      </c>
      <c r="H213" s="3">
        <v>21</v>
      </c>
      <c r="I213" s="3">
        <v>87</v>
      </c>
      <c r="J213" s="3">
        <v>12.28</v>
      </c>
      <c r="K213" s="3">
        <v>0</v>
      </c>
      <c r="L213" s="3">
        <v>4.0999999999999996</v>
      </c>
      <c r="M213" s="3">
        <v>761963.23</v>
      </c>
      <c r="N213" s="3">
        <v>150113.60999999999</v>
      </c>
    </row>
    <row r="214" spans="1:14">
      <c r="A214" s="3" t="s">
        <v>85</v>
      </c>
      <c r="B214" s="4">
        <v>45658</v>
      </c>
      <c r="C214" s="3" t="s">
        <v>10</v>
      </c>
      <c r="D214" s="3" t="s">
        <v>28</v>
      </c>
      <c r="E214" s="3">
        <v>50887.46</v>
      </c>
      <c r="F214" s="3">
        <v>9505</v>
      </c>
      <c r="G214" s="3">
        <v>9.0999999999999998E-2</v>
      </c>
      <c r="H214" s="3">
        <v>25</v>
      </c>
      <c r="I214" s="3">
        <v>89.7</v>
      </c>
      <c r="J214" s="3">
        <v>2.8</v>
      </c>
      <c r="K214" s="3">
        <v>0</v>
      </c>
      <c r="L214" s="3">
        <v>4.3</v>
      </c>
      <c r="M214" s="3">
        <v>812152.6</v>
      </c>
      <c r="N214" s="3">
        <v>138419.43</v>
      </c>
    </row>
    <row r="215" spans="1:14">
      <c r="A215" s="3" t="s">
        <v>85</v>
      </c>
      <c r="B215" s="4">
        <v>45689</v>
      </c>
      <c r="C215" s="3" t="s">
        <v>10</v>
      </c>
      <c r="D215" s="3" t="s">
        <v>28</v>
      </c>
      <c r="E215" s="3">
        <v>41819.449999999997</v>
      </c>
      <c r="F215" s="3">
        <v>9412</v>
      </c>
      <c r="G215" s="3">
        <v>0.15</v>
      </c>
      <c r="H215" s="3">
        <v>22</v>
      </c>
      <c r="I215" s="3">
        <v>91</v>
      </c>
      <c r="J215" s="3">
        <v>3.67</v>
      </c>
      <c r="K215" s="3">
        <v>0</v>
      </c>
      <c r="L215" s="3">
        <v>4.2</v>
      </c>
      <c r="M215" s="3">
        <v>804975.5</v>
      </c>
      <c r="N215" s="3">
        <v>140054.5</v>
      </c>
    </row>
    <row r="216" spans="1:14">
      <c r="A216" s="3" t="s">
        <v>85</v>
      </c>
      <c r="B216" s="4">
        <v>45717</v>
      </c>
      <c r="C216" s="3" t="s">
        <v>10</v>
      </c>
      <c r="D216" s="3" t="s">
        <v>28</v>
      </c>
      <c r="E216" s="3">
        <v>35296.54</v>
      </c>
      <c r="F216" s="3">
        <v>9644</v>
      </c>
      <c r="G216" s="3">
        <v>0</v>
      </c>
      <c r="H216" s="3">
        <v>22</v>
      </c>
      <c r="I216" s="3">
        <v>88</v>
      </c>
      <c r="J216" s="3">
        <v>2.81</v>
      </c>
      <c r="K216" s="3">
        <v>0</v>
      </c>
      <c r="L216" s="3">
        <v>4.7</v>
      </c>
      <c r="M216" s="3">
        <v>752321.72</v>
      </c>
      <c r="N216" s="3">
        <v>137788.51</v>
      </c>
    </row>
    <row r="217" spans="1:14">
      <c r="A217" s="3" t="s">
        <v>85</v>
      </c>
      <c r="B217" s="4">
        <v>45748</v>
      </c>
      <c r="C217" s="3" t="s">
        <v>10</v>
      </c>
      <c r="D217" s="3" t="s">
        <v>28</v>
      </c>
      <c r="E217" s="3">
        <v>47391.09</v>
      </c>
      <c r="F217" s="3">
        <v>11224</v>
      </c>
      <c r="G217" s="3">
        <v>0.14699999999999999</v>
      </c>
      <c r="H217" s="3">
        <v>25</v>
      </c>
      <c r="I217" s="3">
        <v>88.4</v>
      </c>
      <c r="J217" s="3">
        <v>2.44</v>
      </c>
      <c r="K217" s="3">
        <v>0</v>
      </c>
      <c r="L217" s="3">
        <v>4.9000000000000004</v>
      </c>
      <c r="M217" s="3">
        <v>836908.24</v>
      </c>
      <c r="N217" s="3">
        <v>141090.26</v>
      </c>
    </row>
    <row r="218" spans="1:14">
      <c r="A218" s="3" t="s">
        <v>86</v>
      </c>
      <c r="B218" s="4">
        <v>45658</v>
      </c>
      <c r="C218" s="3" t="s">
        <v>32</v>
      </c>
      <c r="D218" s="3" t="s">
        <v>33</v>
      </c>
      <c r="E218" s="3">
        <v>69180.539999999994</v>
      </c>
      <c r="F218" s="3">
        <v>5394</v>
      </c>
      <c r="G218" s="3">
        <v>0.126</v>
      </c>
      <c r="H218" s="3">
        <v>12</v>
      </c>
      <c r="I218" s="3">
        <v>82.9</v>
      </c>
      <c r="J218" s="3">
        <v>3.27</v>
      </c>
      <c r="K218" s="3">
        <v>0</v>
      </c>
      <c r="L218" s="3">
        <v>3.3</v>
      </c>
      <c r="M218" s="3">
        <v>674289.1</v>
      </c>
      <c r="N218" s="3">
        <v>117773.79</v>
      </c>
    </row>
    <row r="219" spans="1:14">
      <c r="A219" s="3" t="s">
        <v>86</v>
      </c>
      <c r="B219" s="4">
        <v>45689</v>
      </c>
      <c r="C219" s="3" t="s">
        <v>32</v>
      </c>
      <c r="D219" s="3" t="s">
        <v>33</v>
      </c>
      <c r="E219" s="3">
        <v>33987.33</v>
      </c>
      <c r="F219" s="3">
        <v>5014</v>
      </c>
      <c r="G219" s="3">
        <v>0.246</v>
      </c>
      <c r="H219" s="3">
        <v>17</v>
      </c>
      <c r="I219" s="3">
        <v>94.3</v>
      </c>
      <c r="J219" s="3">
        <v>10.34</v>
      </c>
      <c r="K219" s="3">
        <v>0</v>
      </c>
      <c r="L219" s="3">
        <v>3.9</v>
      </c>
      <c r="M219" s="3">
        <v>622892.42000000004</v>
      </c>
      <c r="N219" s="3">
        <v>101032.52</v>
      </c>
    </row>
    <row r="220" spans="1:14">
      <c r="A220" s="3" t="s">
        <v>86</v>
      </c>
      <c r="B220" s="4">
        <v>45717</v>
      </c>
      <c r="C220" s="3" t="s">
        <v>32</v>
      </c>
      <c r="D220" s="3" t="s">
        <v>33</v>
      </c>
      <c r="E220" s="3">
        <v>58785.33</v>
      </c>
      <c r="F220" s="3">
        <v>4467</v>
      </c>
      <c r="G220" s="3">
        <v>0.22900000000000001</v>
      </c>
      <c r="H220" s="3">
        <v>14</v>
      </c>
      <c r="I220" s="3">
        <v>90.7</v>
      </c>
      <c r="J220" s="3">
        <v>1.92</v>
      </c>
      <c r="K220" s="3">
        <v>0</v>
      </c>
      <c r="L220" s="3">
        <v>3.7</v>
      </c>
      <c r="M220" s="3">
        <v>673348.56</v>
      </c>
      <c r="N220" s="3">
        <v>69464.59</v>
      </c>
    </row>
    <row r="221" spans="1:14">
      <c r="A221" s="3" t="s">
        <v>86</v>
      </c>
      <c r="B221" s="4">
        <v>45748</v>
      </c>
      <c r="C221" s="3" t="s">
        <v>32</v>
      </c>
      <c r="D221" s="3" t="s">
        <v>33</v>
      </c>
      <c r="E221" s="3">
        <v>16451.849999999999</v>
      </c>
      <c r="F221" s="3">
        <v>4678</v>
      </c>
      <c r="G221" s="3">
        <v>0.13300000000000001</v>
      </c>
      <c r="H221" s="3">
        <v>11</v>
      </c>
      <c r="I221" s="3">
        <v>95.9</v>
      </c>
      <c r="J221" s="3">
        <v>3.1</v>
      </c>
      <c r="K221" s="3">
        <v>0</v>
      </c>
      <c r="L221" s="3">
        <v>3.9</v>
      </c>
      <c r="M221" s="3">
        <v>606278.30000000005</v>
      </c>
      <c r="N221" s="3">
        <v>102213.26</v>
      </c>
    </row>
    <row r="222" spans="1:14">
      <c r="A222" s="3" t="s">
        <v>87</v>
      </c>
      <c r="B222" s="4">
        <v>45658</v>
      </c>
      <c r="C222" s="3" t="s">
        <v>8</v>
      </c>
      <c r="D222" s="3" t="s">
        <v>30</v>
      </c>
      <c r="E222" s="3">
        <v>53367.73</v>
      </c>
      <c r="F222" s="3">
        <v>7291</v>
      </c>
      <c r="G222" s="3">
        <v>0.14599999999999999</v>
      </c>
      <c r="H222" s="3">
        <v>18</v>
      </c>
      <c r="I222" s="3">
        <v>90.6</v>
      </c>
      <c r="J222" s="3">
        <v>6.34</v>
      </c>
      <c r="K222" s="3">
        <v>1</v>
      </c>
      <c r="L222" s="3">
        <v>3.8</v>
      </c>
      <c r="M222" s="3">
        <v>712219.81</v>
      </c>
      <c r="N222" s="3">
        <v>85906.54</v>
      </c>
    </row>
    <row r="223" spans="1:14">
      <c r="A223" s="3" t="s">
        <v>87</v>
      </c>
      <c r="B223" s="4">
        <v>45689</v>
      </c>
      <c r="C223" s="3" t="s">
        <v>8</v>
      </c>
      <c r="D223" s="3" t="s">
        <v>30</v>
      </c>
      <c r="E223" s="3">
        <v>27194.639999999999</v>
      </c>
      <c r="F223" s="3">
        <v>7404</v>
      </c>
      <c r="G223" s="3">
        <v>8.7999999999999995E-2</v>
      </c>
      <c r="H223" s="3">
        <v>18</v>
      </c>
      <c r="I223" s="3">
        <v>90.2</v>
      </c>
      <c r="J223" s="3">
        <v>1.2</v>
      </c>
      <c r="K223" s="3">
        <v>0</v>
      </c>
      <c r="L223" s="3">
        <v>3.4</v>
      </c>
      <c r="M223" s="3">
        <v>672670.54</v>
      </c>
      <c r="N223" s="3">
        <v>132684.18</v>
      </c>
    </row>
    <row r="224" spans="1:14">
      <c r="A224" s="3" t="s">
        <v>87</v>
      </c>
      <c r="B224" s="4">
        <v>45717</v>
      </c>
      <c r="C224" s="3" t="s">
        <v>8</v>
      </c>
      <c r="D224" s="3" t="s">
        <v>30</v>
      </c>
      <c r="E224" s="3">
        <v>66962.740000000005</v>
      </c>
      <c r="F224" s="3">
        <v>7880</v>
      </c>
      <c r="G224" s="3">
        <v>0.11600000000000001</v>
      </c>
      <c r="H224" s="3">
        <v>19</v>
      </c>
      <c r="I224" s="3">
        <v>90.4</v>
      </c>
      <c r="J224" s="3">
        <v>4.5</v>
      </c>
      <c r="K224" s="3">
        <v>0</v>
      </c>
      <c r="L224" s="3">
        <v>3.3</v>
      </c>
      <c r="M224" s="3">
        <v>732667.92</v>
      </c>
      <c r="N224" s="3">
        <v>128654.46</v>
      </c>
    </row>
    <row r="225" spans="1:14">
      <c r="A225" s="3" t="s">
        <v>87</v>
      </c>
      <c r="B225" s="4">
        <v>45748</v>
      </c>
      <c r="C225" s="3" t="s">
        <v>8</v>
      </c>
      <c r="D225" s="3" t="s">
        <v>30</v>
      </c>
      <c r="E225" s="3">
        <v>73540.990000000005</v>
      </c>
      <c r="F225" s="3">
        <v>8773</v>
      </c>
      <c r="G225" s="3">
        <v>3.5000000000000003E-2</v>
      </c>
      <c r="H225" s="3">
        <v>21</v>
      </c>
      <c r="I225" s="3">
        <v>84.4</v>
      </c>
      <c r="J225" s="3">
        <v>6.68</v>
      </c>
      <c r="K225" s="3">
        <v>0</v>
      </c>
      <c r="L225" s="3">
        <v>3.6</v>
      </c>
      <c r="M225" s="3">
        <v>723531.4</v>
      </c>
      <c r="N225" s="3">
        <v>108794.85</v>
      </c>
    </row>
    <row r="226" spans="1:14">
      <c r="A226" s="3" t="s">
        <v>88</v>
      </c>
      <c r="B226" s="4">
        <v>45658</v>
      </c>
      <c r="C226" s="3" t="s">
        <v>8</v>
      </c>
      <c r="D226" s="3" t="s">
        <v>38</v>
      </c>
      <c r="E226" s="3">
        <v>68212.289999999994</v>
      </c>
      <c r="F226" s="3">
        <v>4713</v>
      </c>
      <c r="G226" s="3">
        <v>0.19800000000000001</v>
      </c>
      <c r="H226" s="3">
        <v>15</v>
      </c>
      <c r="I226" s="3">
        <v>82.6</v>
      </c>
      <c r="J226" s="3">
        <v>4.07</v>
      </c>
      <c r="K226" s="3">
        <v>1</v>
      </c>
      <c r="L226" s="3">
        <v>3</v>
      </c>
      <c r="M226" s="3">
        <v>641564.6</v>
      </c>
      <c r="N226" s="3">
        <v>90468.96</v>
      </c>
    </row>
    <row r="227" spans="1:14">
      <c r="A227" s="3" t="s">
        <v>88</v>
      </c>
      <c r="B227" s="4">
        <v>45689</v>
      </c>
      <c r="C227" s="3" t="s">
        <v>8</v>
      </c>
      <c r="D227" s="3" t="s">
        <v>38</v>
      </c>
      <c r="E227" s="3">
        <v>57225.98</v>
      </c>
      <c r="F227" s="3">
        <v>2842</v>
      </c>
      <c r="G227" s="3">
        <v>0.112</v>
      </c>
      <c r="H227" s="3">
        <v>10</v>
      </c>
      <c r="I227" s="3">
        <v>79.5</v>
      </c>
      <c r="J227" s="3">
        <v>5.45</v>
      </c>
      <c r="K227" s="3">
        <v>0</v>
      </c>
      <c r="L227" s="3">
        <v>3.4</v>
      </c>
      <c r="M227" s="3">
        <v>536545.49</v>
      </c>
      <c r="N227" s="3">
        <v>97917.45</v>
      </c>
    </row>
    <row r="228" spans="1:14">
      <c r="A228" s="3" t="s">
        <v>88</v>
      </c>
      <c r="B228" s="4">
        <v>45717</v>
      </c>
      <c r="C228" s="3" t="s">
        <v>8</v>
      </c>
      <c r="D228" s="3" t="s">
        <v>38</v>
      </c>
      <c r="E228" s="3">
        <v>42932.02</v>
      </c>
      <c r="F228" s="3">
        <v>3872</v>
      </c>
      <c r="G228" s="3">
        <v>0.17100000000000001</v>
      </c>
      <c r="H228" s="3">
        <v>12</v>
      </c>
      <c r="I228" s="3">
        <v>83.2</v>
      </c>
      <c r="J228" s="3">
        <v>15.58</v>
      </c>
      <c r="K228" s="3">
        <v>0</v>
      </c>
      <c r="L228" s="3">
        <v>3.3</v>
      </c>
      <c r="M228" s="3">
        <v>527681.56000000006</v>
      </c>
      <c r="N228" s="3">
        <v>63153.05</v>
      </c>
    </row>
    <row r="229" spans="1:14">
      <c r="A229" s="3" t="s">
        <v>88</v>
      </c>
      <c r="B229" s="4">
        <v>45748</v>
      </c>
      <c r="C229" s="3" t="s">
        <v>8</v>
      </c>
      <c r="D229" s="3" t="s">
        <v>38</v>
      </c>
      <c r="E229" s="3">
        <v>39341.449999999997</v>
      </c>
      <c r="F229" s="3">
        <v>1375</v>
      </c>
      <c r="G229" s="3">
        <v>9.2999999999999999E-2</v>
      </c>
      <c r="H229" s="3">
        <v>5</v>
      </c>
      <c r="I229" s="3">
        <v>95</v>
      </c>
      <c r="J229" s="3">
        <v>5.32</v>
      </c>
      <c r="K229" s="3">
        <v>0</v>
      </c>
      <c r="L229" s="3"/>
      <c r="M229" s="3">
        <v>529598.93999999994</v>
      </c>
      <c r="N229" s="3">
        <v>84334.33</v>
      </c>
    </row>
    <row r="230" spans="1:14">
      <c r="A230" s="3" t="s">
        <v>89</v>
      </c>
      <c r="B230" s="4">
        <v>45658</v>
      </c>
      <c r="C230" s="3" t="s">
        <v>8</v>
      </c>
      <c r="D230" s="3" t="s">
        <v>30</v>
      </c>
      <c r="E230" s="3">
        <v>37324.230000000003</v>
      </c>
      <c r="F230" s="3">
        <v>5957</v>
      </c>
      <c r="G230" s="3">
        <v>7.0999999999999994E-2</v>
      </c>
      <c r="H230" s="3">
        <v>12</v>
      </c>
      <c r="I230" s="3">
        <v>85.9</v>
      </c>
      <c r="J230" s="3">
        <v>0.37</v>
      </c>
      <c r="K230" s="3">
        <v>0</v>
      </c>
      <c r="L230" s="3">
        <v>3.8</v>
      </c>
      <c r="M230" s="3">
        <v>570963.31000000006</v>
      </c>
      <c r="N230" s="3">
        <v>87342.25</v>
      </c>
    </row>
    <row r="231" spans="1:14">
      <c r="A231" s="3" t="s">
        <v>89</v>
      </c>
      <c r="B231" s="4">
        <v>45689</v>
      </c>
      <c r="C231" s="3" t="s">
        <v>8</v>
      </c>
      <c r="D231" s="3" t="s">
        <v>30</v>
      </c>
      <c r="E231" s="3">
        <v>113736</v>
      </c>
      <c r="F231" s="3">
        <v>8961</v>
      </c>
      <c r="G231" s="3">
        <v>0.20200000000000001</v>
      </c>
      <c r="H231" s="3">
        <v>24</v>
      </c>
      <c r="I231" s="3">
        <v>86.2</v>
      </c>
      <c r="J231" s="3">
        <v>21.63</v>
      </c>
      <c r="K231" s="3">
        <v>0</v>
      </c>
      <c r="L231" s="3">
        <v>4</v>
      </c>
      <c r="M231" s="3">
        <v>870937.4</v>
      </c>
      <c r="N231" s="3">
        <v>175282.74</v>
      </c>
    </row>
    <row r="232" spans="1:14">
      <c r="A232" s="3" t="s">
        <v>89</v>
      </c>
      <c r="B232" s="4">
        <v>45717</v>
      </c>
      <c r="C232" s="3" t="s">
        <v>8</v>
      </c>
      <c r="D232" s="3" t="s">
        <v>30</v>
      </c>
      <c r="E232" s="3">
        <v>33173.949999999997</v>
      </c>
      <c r="F232" s="3">
        <v>6545</v>
      </c>
      <c r="G232" s="3">
        <v>0.16900000000000001</v>
      </c>
      <c r="H232" s="3">
        <v>15</v>
      </c>
      <c r="I232" s="3">
        <v>84.4</v>
      </c>
      <c r="J232" s="3">
        <v>2.48</v>
      </c>
      <c r="K232" s="3">
        <v>0</v>
      </c>
      <c r="L232" s="3">
        <v>3.9</v>
      </c>
      <c r="M232" s="3">
        <v>596969.27</v>
      </c>
      <c r="N232" s="3">
        <v>105669.51</v>
      </c>
    </row>
    <row r="233" spans="1:14">
      <c r="A233" s="3" t="s">
        <v>89</v>
      </c>
      <c r="B233" s="4">
        <v>45748</v>
      </c>
      <c r="C233" s="3" t="s">
        <v>8</v>
      </c>
      <c r="D233" s="3" t="s">
        <v>30</v>
      </c>
      <c r="E233" s="3">
        <v>25818.080000000002</v>
      </c>
      <c r="F233" s="3">
        <v>5457</v>
      </c>
      <c r="G233" s="3">
        <v>0</v>
      </c>
      <c r="H233" s="3">
        <v>11</v>
      </c>
      <c r="I233" s="3">
        <v>95.4</v>
      </c>
      <c r="J233" s="3"/>
      <c r="K233" s="3">
        <v>0</v>
      </c>
      <c r="L233" s="3">
        <v>3.7</v>
      </c>
      <c r="M233" s="3">
        <v>647512.85</v>
      </c>
      <c r="N233" s="3">
        <v>153835.57</v>
      </c>
    </row>
    <row r="234" spans="1:14">
      <c r="A234" s="3" t="s">
        <v>90</v>
      </c>
      <c r="B234" s="4">
        <v>45658</v>
      </c>
      <c r="C234" s="3" t="s">
        <v>10</v>
      </c>
      <c r="D234" s="3" t="s">
        <v>28</v>
      </c>
      <c r="E234" s="3">
        <v>47241.919999999998</v>
      </c>
      <c r="F234" s="3">
        <v>4264</v>
      </c>
      <c r="G234" s="3">
        <v>6.9000000000000006E-2</v>
      </c>
      <c r="H234" s="3">
        <v>13</v>
      </c>
      <c r="I234" s="3">
        <v>95.3</v>
      </c>
      <c r="J234" s="3">
        <v>0.85</v>
      </c>
      <c r="K234" s="3">
        <v>0</v>
      </c>
      <c r="L234" s="3">
        <v>4.3</v>
      </c>
      <c r="M234" s="3">
        <v>658072.14</v>
      </c>
      <c r="N234" s="3">
        <v>110595.89</v>
      </c>
    </row>
    <row r="235" spans="1:14">
      <c r="A235" s="3" t="s">
        <v>90</v>
      </c>
      <c r="B235" s="4">
        <v>45689</v>
      </c>
      <c r="C235" s="3" t="s">
        <v>10</v>
      </c>
      <c r="D235" s="3" t="s">
        <v>28</v>
      </c>
      <c r="E235" s="3">
        <v>61650.79</v>
      </c>
      <c r="F235" s="3">
        <v>5321</v>
      </c>
      <c r="G235" s="3">
        <v>0.126</v>
      </c>
      <c r="H235" s="3">
        <v>17</v>
      </c>
      <c r="I235" s="3">
        <v>89.2</v>
      </c>
      <c r="J235" s="3">
        <v>2.13</v>
      </c>
      <c r="K235" s="3">
        <v>0</v>
      </c>
      <c r="L235" s="3">
        <v>4</v>
      </c>
      <c r="M235" s="3">
        <v>723305.11</v>
      </c>
      <c r="N235" s="3">
        <v>128468.7</v>
      </c>
    </row>
    <row r="236" spans="1:14">
      <c r="A236" s="3" t="s">
        <v>90</v>
      </c>
      <c r="B236" s="4">
        <v>45717</v>
      </c>
      <c r="C236" s="3" t="s">
        <v>10</v>
      </c>
      <c r="D236" s="3" t="s">
        <v>28</v>
      </c>
      <c r="E236" s="3">
        <v>62582.71</v>
      </c>
      <c r="F236" s="3">
        <v>5479</v>
      </c>
      <c r="G236" s="3">
        <v>4.8000000000000001E-2</v>
      </c>
      <c r="H236" s="3">
        <v>16</v>
      </c>
      <c r="I236" s="3">
        <v>81.2</v>
      </c>
      <c r="J236" s="3">
        <v>1.46</v>
      </c>
      <c r="K236" s="3">
        <v>0</v>
      </c>
      <c r="L236" s="3">
        <v>4.5</v>
      </c>
      <c r="M236" s="3">
        <v>640666.53</v>
      </c>
      <c r="N236" s="3">
        <v>134919.16</v>
      </c>
    </row>
    <row r="237" spans="1:14">
      <c r="A237" s="3" t="s">
        <v>90</v>
      </c>
      <c r="B237" s="4">
        <v>45748</v>
      </c>
      <c r="C237" s="3" t="s">
        <v>10</v>
      </c>
      <c r="D237" s="3" t="s">
        <v>28</v>
      </c>
      <c r="E237" s="3">
        <v>47944.14</v>
      </c>
      <c r="F237" s="3">
        <v>6169</v>
      </c>
      <c r="G237" s="3">
        <v>0.11899999999999999</v>
      </c>
      <c r="H237" s="3">
        <v>17</v>
      </c>
      <c r="I237" s="3">
        <v>92.2</v>
      </c>
      <c r="J237" s="3">
        <v>3.02</v>
      </c>
      <c r="K237" s="3">
        <v>0</v>
      </c>
      <c r="L237" s="3">
        <v>4.0999999999999996</v>
      </c>
      <c r="M237" s="3">
        <v>670629.48</v>
      </c>
      <c r="N237" s="3">
        <v>100140.8</v>
      </c>
    </row>
    <row r="238" spans="1:14">
      <c r="A238" s="3" t="s">
        <v>91</v>
      </c>
      <c r="B238" s="4">
        <v>45658</v>
      </c>
      <c r="C238" s="3" t="s">
        <v>10</v>
      </c>
      <c r="D238" s="3" t="s">
        <v>38</v>
      </c>
      <c r="E238" s="3">
        <v>46495.4</v>
      </c>
      <c r="F238" s="3">
        <v>9908</v>
      </c>
      <c r="G238" s="3">
        <v>0.121</v>
      </c>
      <c r="H238" s="3">
        <v>22</v>
      </c>
      <c r="I238" s="3">
        <v>89.4</v>
      </c>
      <c r="J238" s="3">
        <v>3.22</v>
      </c>
      <c r="K238" s="3">
        <v>0</v>
      </c>
      <c r="L238" s="3">
        <v>3.7</v>
      </c>
      <c r="M238" s="3">
        <v>721079.35</v>
      </c>
      <c r="N238" s="3">
        <v>115295.05</v>
      </c>
    </row>
    <row r="239" spans="1:14">
      <c r="A239" s="3" t="s">
        <v>91</v>
      </c>
      <c r="B239" s="4">
        <v>45689</v>
      </c>
      <c r="C239" s="3" t="s">
        <v>10</v>
      </c>
      <c r="D239" s="3" t="s">
        <v>38</v>
      </c>
      <c r="E239" s="3">
        <v>72961.95</v>
      </c>
      <c r="F239" s="3">
        <v>9996</v>
      </c>
      <c r="G239" s="3">
        <v>0.106</v>
      </c>
      <c r="H239" s="3">
        <v>22</v>
      </c>
      <c r="I239" s="3">
        <v>89.1</v>
      </c>
      <c r="J239" s="3">
        <v>15.66</v>
      </c>
      <c r="K239" s="3">
        <v>0</v>
      </c>
      <c r="L239" s="3">
        <v>3.4</v>
      </c>
      <c r="M239" s="3">
        <v>810355.02</v>
      </c>
      <c r="N239" s="3">
        <v>131510</v>
      </c>
    </row>
    <row r="240" spans="1:14">
      <c r="A240" s="3" t="s">
        <v>91</v>
      </c>
      <c r="B240" s="4">
        <v>45717</v>
      </c>
      <c r="C240" s="3" t="s">
        <v>10</v>
      </c>
      <c r="D240" s="3" t="s">
        <v>38</v>
      </c>
      <c r="E240" s="3">
        <v>59060.05</v>
      </c>
      <c r="F240" s="3">
        <v>9702</v>
      </c>
      <c r="G240" s="3">
        <v>0.20100000000000001</v>
      </c>
      <c r="H240" s="3">
        <v>23</v>
      </c>
      <c r="I240" s="3">
        <v>80.900000000000006</v>
      </c>
      <c r="J240" s="3">
        <v>6.96</v>
      </c>
      <c r="K240" s="3">
        <v>0</v>
      </c>
      <c r="L240" s="3">
        <v>3.2</v>
      </c>
      <c r="M240" s="3">
        <v>761919.25</v>
      </c>
      <c r="N240" s="3">
        <v>111893.06</v>
      </c>
    </row>
    <row r="241" spans="1:14">
      <c r="A241" s="3" t="s">
        <v>91</v>
      </c>
      <c r="B241" s="4">
        <v>45748</v>
      </c>
      <c r="C241" s="3" t="s">
        <v>10</v>
      </c>
      <c r="D241" s="3" t="s">
        <v>38</v>
      </c>
      <c r="E241" s="3">
        <v>26248.1</v>
      </c>
      <c r="F241" s="3">
        <v>9314</v>
      </c>
      <c r="G241" s="3">
        <v>0.186</v>
      </c>
      <c r="H241" s="3">
        <v>21</v>
      </c>
      <c r="I241" s="3">
        <v>83.7</v>
      </c>
      <c r="J241" s="3">
        <v>4.62</v>
      </c>
      <c r="K241" s="3">
        <v>0</v>
      </c>
      <c r="L241" s="3">
        <v>3.3</v>
      </c>
      <c r="M241" s="3">
        <v>737070.18</v>
      </c>
      <c r="N241" s="3">
        <v>117593.97</v>
      </c>
    </row>
    <row r="242" spans="1:14">
      <c r="A242" s="3" t="s">
        <v>92</v>
      </c>
      <c r="B242" s="4">
        <v>45658</v>
      </c>
      <c r="C242" s="3" t="s">
        <v>9</v>
      </c>
      <c r="D242" s="3" t="s">
        <v>33</v>
      </c>
      <c r="E242" s="3">
        <v>69900.12</v>
      </c>
      <c r="F242" s="3">
        <v>8055</v>
      </c>
      <c r="G242" s="3">
        <v>0.28100000000000003</v>
      </c>
      <c r="H242" s="3">
        <v>22</v>
      </c>
      <c r="I242" s="3">
        <v>85.6</v>
      </c>
      <c r="J242" s="3">
        <v>10.68</v>
      </c>
      <c r="K242" s="3">
        <v>1</v>
      </c>
      <c r="L242" s="3">
        <v>2.9</v>
      </c>
      <c r="M242" s="3">
        <v>776992.93</v>
      </c>
      <c r="N242" s="3">
        <v>101598.32</v>
      </c>
    </row>
    <row r="243" spans="1:14">
      <c r="A243" s="3" t="s">
        <v>92</v>
      </c>
      <c r="B243" s="4">
        <v>45689</v>
      </c>
      <c r="C243" s="3" t="s">
        <v>9</v>
      </c>
      <c r="D243" s="3" t="s">
        <v>33</v>
      </c>
      <c r="E243" s="3">
        <v>51781.599999999999</v>
      </c>
      <c r="F243" s="3">
        <v>5648</v>
      </c>
      <c r="G243" s="3">
        <v>5.8999999999999997E-2</v>
      </c>
      <c r="H243" s="3">
        <v>13</v>
      </c>
      <c r="I243" s="3">
        <v>85.5</v>
      </c>
      <c r="J243" s="3">
        <v>4.04</v>
      </c>
      <c r="K243" s="3">
        <v>0</v>
      </c>
      <c r="L243" s="3">
        <v>3.7</v>
      </c>
      <c r="M243" s="3">
        <v>676337.41</v>
      </c>
      <c r="N243" s="3">
        <v>104355.77</v>
      </c>
    </row>
    <row r="244" spans="1:14">
      <c r="A244" s="3" t="s">
        <v>92</v>
      </c>
      <c r="B244" s="4">
        <v>45717</v>
      </c>
      <c r="C244" s="3" t="s">
        <v>9</v>
      </c>
      <c r="D244" s="3" t="s">
        <v>33</v>
      </c>
      <c r="E244" s="3">
        <v>70799.64</v>
      </c>
      <c r="F244" s="3">
        <v>10076</v>
      </c>
      <c r="G244" s="3">
        <v>0.152</v>
      </c>
      <c r="H244" s="3">
        <v>24</v>
      </c>
      <c r="I244" s="3">
        <v>84.8</v>
      </c>
      <c r="J244" s="3">
        <v>1.87</v>
      </c>
      <c r="K244" s="3">
        <v>0</v>
      </c>
      <c r="L244" s="3">
        <v>3.5</v>
      </c>
      <c r="M244" s="3">
        <v>828219.67</v>
      </c>
      <c r="N244" s="3">
        <v>179806.87</v>
      </c>
    </row>
    <row r="245" spans="1:14">
      <c r="A245" s="3" t="s">
        <v>92</v>
      </c>
      <c r="B245" s="4">
        <v>45748</v>
      </c>
      <c r="C245" s="3" t="s">
        <v>9</v>
      </c>
      <c r="D245" s="3" t="s">
        <v>33</v>
      </c>
      <c r="E245" s="3">
        <v>53546.34</v>
      </c>
      <c r="F245" s="3">
        <v>8004</v>
      </c>
      <c r="G245" s="3">
        <v>0</v>
      </c>
      <c r="H245" s="3">
        <v>21</v>
      </c>
      <c r="I245" s="3">
        <v>95.2</v>
      </c>
      <c r="J245" s="3">
        <v>2.83</v>
      </c>
      <c r="K245" s="3">
        <v>0</v>
      </c>
      <c r="L245" s="3">
        <v>3</v>
      </c>
      <c r="M245" s="3">
        <v>763159.92</v>
      </c>
      <c r="N245" s="3">
        <v>177104.87</v>
      </c>
    </row>
    <row r="246" spans="1:14">
      <c r="A246" s="3" t="s">
        <v>93</v>
      </c>
      <c r="B246" s="4">
        <v>45658</v>
      </c>
      <c r="C246" s="3" t="s">
        <v>8</v>
      </c>
      <c r="D246" s="3" t="s">
        <v>30</v>
      </c>
      <c r="E246" s="3">
        <v>76942.2</v>
      </c>
      <c r="F246" s="3">
        <v>8934</v>
      </c>
      <c r="G246" s="3">
        <v>8.4000000000000005E-2</v>
      </c>
      <c r="H246" s="3">
        <v>20</v>
      </c>
      <c r="I246" s="3">
        <v>91</v>
      </c>
      <c r="J246" s="3">
        <v>0.95</v>
      </c>
      <c r="K246" s="3">
        <v>0</v>
      </c>
      <c r="L246" s="3">
        <v>3.2</v>
      </c>
      <c r="M246" s="3">
        <v>802001.68</v>
      </c>
      <c r="N246" s="3">
        <v>159715.82</v>
      </c>
    </row>
    <row r="247" spans="1:14">
      <c r="A247" s="3" t="s">
        <v>93</v>
      </c>
      <c r="B247" s="4">
        <v>45689</v>
      </c>
      <c r="C247" s="3" t="s">
        <v>8</v>
      </c>
      <c r="D247" s="3" t="s">
        <v>30</v>
      </c>
      <c r="E247" s="3">
        <v>48060.78</v>
      </c>
      <c r="F247" s="3">
        <v>8733</v>
      </c>
      <c r="G247" s="3">
        <v>0</v>
      </c>
      <c r="H247" s="3">
        <v>20</v>
      </c>
      <c r="I247" s="3">
        <v>89.9</v>
      </c>
      <c r="J247" s="3">
        <v>0.8</v>
      </c>
      <c r="K247" s="3">
        <v>0</v>
      </c>
      <c r="L247" s="3">
        <v>3.4</v>
      </c>
      <c r="M247" s="3">
        <v>750471.34</v>
      </c>
      <c r="N247" s="3">
        <v>133788.04</v>
      </c>
    </row>
    <row r="248" spans="1:14">
      <c r="A248" s="3" t="s">
        <v>93</v>
      </c>
      <c r="B248" s="4">
        <v>45717</v>
      </c>
      <c r="C248" s="3" t="s">
        <v>8</v>
      </c>
      <c r="D248" s="3" t="s">
        <v>30</v>
      </c>
      <c r="E248" s="3">
        <v>57390.04</v>
      </c>
      <c r="F248" s="3">
        <v>7374</v>
      </c>
      <c r="G248" s="3">
        <v>0.21</v>
      </c>
      <c r="H248" s="3">
        <v>21</v>
      </c>
      <c r="I248" s="3">
        <v>91.8</v>
      </c>
      <c r="J248" s="3">
        <v>0.2</v>
      </c>
      <c r="K248" s="3">
        <v>0</v>
      </c>
      <c r="L248" s="3">
        <v>3.1</v>
      </c>
      <c r="M248" s="3">
        <v>679230.86</v>
      </c>
      <c r="N248" s="3">
        <v>106927.58</v>
      </c>
    </row>
    <row r="249" spans="1:14">
      <c r="A249" s="3" t="s">
        <v>93</v>
      </c>
      <c r="B249" s="4">
        <v>45748</v>
      </c>
      <c r="C249" s="3" t="s">
        <v>8</v>
      </c>
      <c r="D249" s="3" t="s">
        <v>30</v>
      </c>
      <c r="E249" s="3">
        <v>21536.18</v>
      </c>
      <c r="F249" s="3">
        <v>8119</v>
      </c>
      <c r="G249" s="3">
        <v>0.22700000000000001</v>
      </c>
      <c r="H249" s="3">
        <v>20</v>
      </c>
      <c r="I249" s="3">
        <v>90.4</v>
      </c>
      <c r="J249" s="3">
        <v>1.7</v>
      </c>
      <c r="K249" s="3">
        <v>0</v>
      </c>
      <c r="L249" s="3">
        <v>3.3</v>
      </c>
      <c r="M249" s="3">
        <v>679888.74</v>
      </c>
      <c r="N249" s="3">
        <v>83406.89</v>
      </c>
    </row>
    <row r="250" spans="1:14">
      <c r="A250" s="3" t="s">
        <v>94</v>
      </c>
      <c r="B250" s="4">
        <v>45658</v>
      </c>
      <c r="C250" s="3" t="s">
        <v>32</v>
      </c>
      <c r="D250" s="3" t="s">
        <v>30</v>
      </c>
      <c r="E250" s="3">
        <v>40923.67</v>
      </c>
      <c r="F250" s="3">
        <v>3875</v>
      </c>
      <c r="G250" s="3">
        <v>0.15</v>
      </c>
      <c r="H250" s="3">
        <v>10</v>
      </c>
      <c r="I250" s="3">
        <v>96.1</v>
      </c>
      <c r="J250" s="3"/>
      <c r="K250" s="3">
        <v>0</v>
      </c>
      <c r="L250" s="3">
        <v>3.8</v>
      </c>
      <c r="M250" s="3">
        <v>606783.67000000004</v>
      </c>
      <c r="N250" s="3">
        <v>74515.87</v>
      </c>
    </row>
    <row r="251" spans="1:14">
      <c r="A251" s="3" t="s">
        <v>94</v>
      </c>
      <c r="B251" s="4">
        <v>45689</v>
      </c>
      <c r="C251" s="3" t="s">
        <v>32</v>
      </c>
      <c r="D251" s="3" t="s">
        <v>30</v>
      </c>
      <c r="E251" s="3">
        <v>72932.55</v>
      </c>
      <c r="F251" s="3">
        <v>5765</v>
      </c>
      <c r="G251" s="3">
        <v>2.5999999999999999E-2</v>
      </c>
      <c r="H251" s="3">
        <v>17</v>
      </c>
      <c r="I251" s="3">
        <v>81.8</v>
      </c>
      <c r="J251" s="3">
        <v>5.0999999999999996</v>
      </c>
      <c r="K251" s="3">
        <v>0</v>
      </c>
      <c r="L251" s="3">
        <v>3.6</v>
      </c>
      <c r="M251" s="3">
        <v>642751.42000000004</v>
      </c>
      <c r="N251" s="3">
        <v>131942.15</v>
      </c>
    </row>
    <row r="252" spans="1:14">
      <c r="A252" s="3" t="s">
        <v>94</v>
      </c>
      <c r="B252" s="4">
        <v>45717</v>
      </c>
      <c r="C252" s="3" t="s">
        <v>32</v>
      </c>
      <c r="D252" s="3" t="s">
        <v>30</v>
      </c>
      <c r="E252" s="3">
        <v>38361.93</v>
      </c>
      <c r="F252" s="3">
        <v>6322</v>
      </c>
      <c r="G252" s="3">
        <v>0.27300000000000002</v>
      </c>
      <c r="H252" s="3">
        <v>15</v>
      </c>
      <c r="I252" s="3">
        <v>88.4</v>
      </c>
      <c r="J252" s="3">
        <v>0.83</v>
      </c>
      <c r="K252" s="3">
        <v>0</v>
      </c>
      <c r="L252" s="3">
        <v>4</v>
      </c>
      <c r="M252" s="3">
        <v>647953.78</v>
      </c>
      <c r="N252" s="3">
        <v>118497.43</v>
      </c>
    </row>
    <row r="253" spans="1:14">
      <c r="A253" s="3" t="s">
        <v>94</v>
      </c>
      <c r="B253" s="4">
        <v>45748</v>
      </c>
      <c r="C253" s="3" t="s">
        <v>32</v>
      </c>
      <c r="D253" s="3" t="s">
        <v>30</v>
      </c>
      <c r="E253" s="3">
        <v>97480.94</v>
      </c>
      <c r="F253" s="3">
        <v>6840</v>
      </c>
      <c r="G253" s="3">
        <v>8.6999999999999994E-2</v>
      </c>
      <c r="H253" s="3">
        <v>14</v>
      </c>
      <c r="I253" s="3">
        <v>79.2</v>
      </c>
      <c r="J253" s="3">
        <v>1.1399999999999999</v>
      </c>
      <c r="K253" s="3">
        <v>0</v>
      </c>
      <c r="L253" s="3">
        <v>4</v>
      </c>
      <c r="M253" s="3">
        <v>729440.45</v>
      </c>
      <c r="N253" s="3">
        <v>87614.29</v>
      </c>
    </row>
    <row r="254" spans="1:14">
      <c r="A254" s="3" t="s">
        <v>95</v>
      </c>
      <c r="B254" s="4">
        <v>45658</v>
      </c>
      <c r="C254" s="3" t="s">
        <v>9</v>
      </c>
      <c r="D254" s="3" t="s">
        <v>33</v>
      </c>
      <c r="E254" s="3">
        <v>81801.8</v>
      </c>
      <c r="F254" s="3">
        <v>6782</v>
      </c>
      <c r="G254" s="3">
        <v>0.05</v>
      </c>
      <c r="H254" s="3">
        <v>16</v>
      </c>
      <c r="I254" s="3">
        <v>99</v>
      </c>
      <c r="J254" s="3">
        <v>9.5399999999999991</v>
      </c>
      <c r="K254" s="3">
        <v>0</v>
      </c>
      <c r="L254" s="3">
        <v>3.7</v>
      </c>
      <c r="M254" s="3">
        <v>764949</v>
      </c>
      <c r="N254" s="3">
        <v>148322.43</v>
      </c>
    </row>
    <row r="255" spans="1:14">
      <c r="A255" s="3" t="s">
        <v>95</v>
      </c>
      <c r="B255" s="4">
        <v>45689</v>
      </c>
      <c r="C255" s="3" t="s">
        <v>9</v>
      </c>
      <c r="D255" s="3" t="s">
        <v>33</v>
      </c>
      <c r="E255" s="3">
        <v>63582.11</v>
      </c>
      <c r="F255" s="3">
        <v>6856</v>
      </c>
      <c r="G255" s="3">
        <v>7.3999999999999996E-2</v>
      </c>
      <c r="H255" s="3">
        <v>17</v>
      </c>
      <c r="I255" s="3">
        <v>89.5</v>
      </c>
      <c r="J255" s="3">
        <v>5.48</v>
      </c>
      <c r="K255" s="3">
        <v>0</v>
      </c>
      <c r="L255" s="3">
        <v>3.2</v>
      </c>
      <c r="M255" s="3">
        <v>799046.94</v>
      </c>
      <c r="N255" s="3">
        <v>144553.64000000001</v>
      </c>
    </row>
    <row r="256" spans="1:14">
      <c r="A256" s="3" t="s">
        <v>95</v>
      </c>
      <c r="B256" s="4">
        <v>45717</v>
      </c>
      <c r="C256" s="3" t="s">
        <v>9</v>
      </c>
      <c r="D256" s="3" t="s">
        <v>33</v>
      </c>
      <c r="E256" s="3">
        <v>75412.740000000005</v>
      </c>
      <c r="F256" s="3">
        <v>5641</v>
      </c>
      <c r="G256" s="3">
        <v>5.8999999999999997E-2</v>
      </c>
      <c r="H256" s="3">
        <v>13</v>
      </c>
      <c r="I256" s="3">
        <v>87.9</v>
      </c>
      <c r="J256" s="3">
        <v>0.84</v>
      </c>
      <c r="K256" s="3">
        <v>0</v>
      </c>
      <c r="L256" s="3">
        <v>3.6</v>
      </c>
      <c r="M256" s="3">
        <v>720079.54</v>
      </c>
      <c r="N256" s="3">
        <v>119499.47</v>
      </c>
    </row>
    <row r="257" spans="1:14">
      <c r="A257" s="3" t="s">
        <v>95</v>
      </c>
      <c r="B257" s="4">
        <v>45748</v>
      </c>
      <c r="C257" s="3" t="s">
        <v>9</v>
      </c>
      <c r="D257" s="3" t="s">
        <v>33</v>
      </c>
      <c r="E257" s="3">
        <v>36290.080000000002</v>
      </c>
      <c r="F257" s="3">
        <v>5787</v>
      </c>
      <c r="G257" s="3">
        <v>0</v>
      </c>
      <c r="H257" s="3">
        <v>17</v>
      </c>
      <c r="I257" s="3">
        <v>88.3</v>
      </c>
      <c r="J257" s="3">
        <v>4.1900000000000004</v>
      </c>
      <c r="K257" s="3">
        <v>0</v>
      </c>
      <c r="L257" s="3">
        <v>4.0999999999999996</v>
      </c>
      <c r="M257" s="3">
        <v>612390.14</v>
      </c>
      <c r="N257" s="3">
        <v>108985.74</v>
      </c>
    </row>
    <row r="258" spans="1:14">
      <c r="A258" s="3" t="s">
        <v>96</v>
      </c>
      <c r="B258" s="4">
        <v>45658</v>
      </c>
      <c r="C258" s="3" t="s">
        <v>9</v>
      </c>
      <c r="D258" s="3" t="s">
        <v>38</v>
      </c>
      <c r="E258" s="3">
        <v>65272.58</v>
      </c>
      <c r="F258" s="3">
        <v>8165</v>
      </c>
      <c r="G258" s="3">
        <v>5.0999999999999997E-2</v>
      </c>
      <c r="H258" s="3">
        <v>19</v>
      </c>
      <c r="I258" s="3">
        <v>87.8</v>
      </c>
      <c r="J258" s="3">
        <v>1.26</v>
      </c>
      <c r="K258" s="3">
        <v>1</v>
      </c>
      <c r="L258" s="3">
        <v>4.3</v>
      </c>
      <c r="M258" s="3">
        <v>840108.12</v>
      </c>
      <c r="N258" s="3">
        <v>126587.01</v>
      </c>
    </row>
    <row r="259" spans="1:14">
      <c r="A259" s="3" t="s">
        <v>96</v>
      </c>
      <c r="B259" s="4">
        <v>45689</v>
      </c>
      <c r="C259" s="3" t="s">
        <v>9</v>
      </c>
      <c r="D259" s="3" t="s">
        <v>38</v>
      </c>
      <c r="E259" s="3">
        <v>28670.43</v>
      </c>
      <c r="F259" s="3">
        <v>7574</v>
      </c>
      <c r="G259" s="3">
        <v>0.114</v>
      </c>
      <c r="H259" s="3">
        <v>19</v>
      </c>
      <c r="I259" s="3">
        <v>82.7</v>
      </c>
      <c r="J259" s="3">
        <v>2.74</v>
      </c>
      <c r="K259" s="3">
        <v>0</v>
      </c>
      <c r="L259" s="3">
        <v>4.5999999999999996</v>
      </c>
      <c r="M259" s="3">
        <v>697888.09</v>
      </c>
      <c r="N259" s="3">
        <v>116249.87</v>
      </c>
    </row>
    <row r="260" spans="1:14">
      <c r="A260" s="3" t="s">
        <v>96</v>
      </c>
      <c r="B260" s="4">
        <v>45717</v>
      </c>
      <c r="C260" s="3" t="s">
        <v>9</v>
      </c>
      <c r="D260" s="3" t="s">
        <v>38</v>
      </c>
      <c r="E260" s="3">
        <v>44189.34</v>
      </c>
      <c r="F260" s="3">
        <v>8634</v>
      </c>
      <c r="G260" s="3">
        <v>0.14299999999999999</v>
      </c>
      <c r="H260" s="3">
        <v>19</v>
      </c>
      <c r="I260" s="3">
        <v>87.5</v>
      </c>
      <c r="J260" s="3">
        <v>3.69</v>
      </c>
      <c r="K260" s="3">
        <v>0</v>
      </c>
      <c r="L260" s="3">
        <v>4.4000000000000004</v>
      </c>
      <c r="M260" s="3">
        <v>746115.59</v>
      </c>
      <c r="N260" s="3">
        <v>94662.96</v>
      </c>
    </row>
    <row r="261" spans="1:14">
      <c r="A261" s="3" t="s">
        <v>96</v>
      </c>
      <c r="B261" s="4">
        <v>45748</v>
      </c>
      <c r="C261" s="3" t="s">
        <v>9</v>
      </c>
      <c r="D261" s="3" t="s">
        <v>38</v>
      </c>
      <c r="E261" s="3">
        <v>38397.82</v>
      </c>
      <c r="F261" s="3">
        <v>7836</v>
      </c>
      <c r="G261" s="3">
        <v>7.0000000000000001E-3</v>
      </c>
      <c r="H261" s="3">
        <v>21</v>
      </c>
      <c r="I261" s="3">
        <v>92.2</v>
      </c>
      <c r="J261" s="3">
        <v>1.82</v>
      </c>
      <c r="K261" s="3">
        <v>0</v>
      </c>
      <c r="L261" s="3">
        <v>3.6</v>
      </c>
      <c r="M261" s="3">
        <v>776110.32</v>
      </c>
      <c r="N261" s="3">
        <v>139676.21</v>
      </c>
    </row>
    <row r="262" spans="1:14">
      <c r="A262" s="3" t="s">
        <v>97</v>
      </c>
      <c r="B262" s="4">
        <v>45658</v>
      </c>
      <c r="C262" s="3" t="s">
        <v>10</v>
      </c>
      <c r="D262" s="3" t="s">
        <v>30</v>
      </c>
      <c r="E262" s="3">
        <v>14519.37</v>
      </c>
      <c r="F262" s="3">
        <v>3047</v>
      </c>
      <c r="G262" s="3">
        <v>0.13500000000000001</v>
      </c>
      <c r="H262" s="3">
        <v>10</v>
      </c>
      <c r="I262" s="3">
        <v>90.3</v>
      </c>
      <c r="J262" s="3">
        <v>6.62</v>
      </c>
      <c r="K262" s="3">
        <v>0</v>
      </c>
      <c r="L262" s="3">
        <v>4.2</v>
      </c>
      <c r="M262" s="3">
        <v>528852.62</v>
      </c>
      <c r="N262" s="3">
        <v>68426.210000000006</v>
      </c>
    </row>
    <row r="263" spans="1:14">
      <c r="A263" s="3" t="s">
        <v>97</v>
      </c>
      <c r="B263" s="4">
        <v>45689</v>
      </c>
      <c r="C263" s="3" t="s">
        <v>10</v>
      </c>
      <c r="D263" s="3" t="s">
        <v>30</v>
      </c>
      <c r="E263" s="3">
        <v>43288.2</v>
      </c>
      <c r="F263" s="3">
        <v>4783</v>
      </c>
      <c r="G263" s="3">
        <v>0.16900000000000001</v>
      </c>
      <c r="H263" s="3">
        <v>13</v>
      </c>
      <c r="I263" s="3">
        <v>87.3</v>
      </c>
      <c r="J263" s="3"/>
      <c r="K263" s="3">
        <v>0</v>
      </c>
      <c r="L263" s="3">
        <v>4.2</v>
      </c>
      <c r="M263" s="3">
        <v>605751.32999999996</v>
      </c>
      <c r="N263" s="3">
        <v>60685.53</v>
      </c>
    </row>
    <row r="264" spans="1:14">
      <c r="A264" s="3" t="s">
        <v>97</v>
      </c>
      <c r="B264" s="4">
        <v>45717</v>
      </c>
      <c r="C264" s="3" t="s">
        <v>10</v>
      </c>
      <c r="D264" s="3" t="s">
        <v>30</v>
      </c>
      <c r="E264" s="3">
        <v>51450.55</v>
      </c>
      <c r="F264" s="3">
        <v>4902</v>
      </c>
      <c r="G264" s="3">
        <v>8.5999999999999993E-2</v>
      </c>
      <c r="H264" s="3">
        <v>11</v>
      </c>
      <c r="I264" s="3">
        <v>83.7</v>
      </c>
      <c r="J264" s="3">
        <v>6.92</v>
      </c>
      <c r="K264" s="3">
        <v>1</v>
      </c>
      <c r="L264" s="3">
        <v>4.2</v>
      </c>
      <c r="M264" s="3">
        <v>677640.65</v>
      </c>
      <c r="N264" s="3">
        <v>111610.89</v>
      </c>
    </row>
    <row r="265" spans="1:14">
      <c r="A265" s="3" t="s">
        <v>97</v>
      </c>
      <c r="B265" s="4">
        <v>45748</v>
      </c>
      <c r="C265" s="3" t="s">
        <v>10</v>
      </c>
      <c r="D265" s="3" t="s">
        <v>30</v>
      </c>
      <c r="E265" s="3">
        <v>58688.26</v>
      </c>
      <c r="F265" s="3">
        <v>4022</v>
      </c>
      <c r="G265" s="3">
        <v>0.217</v>
      </c>
      <c r="H265" s="3">
        <v>12</v>
      </c>
      <c r="I265" s="3">
        <v>93.8</v>
      </c>
      <c r="J265" s="3">
        <v>11.78</v>
      </c>
      <c r="K265" s="3">
        <v>0</v>
      </c>
      <c r="L265" s="3">
        <v>3.7</v>
      </c>
      <c r="M265" s="3">
        <v>636613.23</v>
      </c>
      <c r="N265" s="3">
        <v>78908.350000000006</v>
      </c>
    </row>
    <row r="266" spans="1:14">
      <c r="A266" s="3" t="s">
        <v>98</v>
      </c>
      <c r="B266" s="4">
        <v>45658</v>
      </c>
      <c r="C266" s="3" t="s">
        <v>8</v>
      </c>
      <c r="D266" s="3" t="s">
        <v>30</v>
      </c>
      <c r="E266" s="3">
        <v>58981.91</v>
      </c>
      <c r="F266" s="3">
        <v>7324</v>
      </c>
      <c r="G266" s="3">
        <v>9.4E-2</v>
      </c>
      <c r="H266" s="3">
        <v>15</v>
      </c>
      <c r="I266" s="3">
        <v>95.8</v>
      </c>
      <c r="J266" s="3">
        <v>0.5</v>
      </c>
      <c r="K266" s="3">
        <v>0</v>
      </c>
      <c r="L266" s="3">
        <v>3.5</v>
      </c>
      <c r="M266" s="3">
        <v>708985.19</v>
      </c>
      <c r="N266" s="3">
        <v>125368.16</v>
      </c>
    </row>
    <row r="267" spans="1:14">
      <c r="A267" s="3" t="s">
        <v>98</v>
      </c>
      <c r="B267" s="4">
        <v>45689</v>
      </c>
      <c r="C267" s="3" t="s">
        <v>8</v>
      </c>
      <c r="D267" s="3" t="s">
        <v>30</v>
      </c>
      <c r="E267" s="3">
        <v>73454.539999999994</v>
      </c>
      <c r="F267" s="3">
        <v>8129</v>
      </c>
      <c r="G267" s="3">
        <v>0.21099999999999999</v>
      </c>
      <c r="H267" s="3">
        <v>20</v>
      </c>
      <c r="I267" s="3">
        <v>85.2</v>
      </c>
      <c r="J267" s="3">
        <v>0.88</v>
      </c>
      <c r="K267" s="3">
        <v>0</v>
      </c>
      <c r="L267" s="3">
        <v>3.7</v>
      </c>
      <c r="M267" s="3">
        <v>767792.94</v>
      </c>
      <c r="N267" s="3">
        <v>96235.77</v>
      </c>
    </row>
    <row r="268" spans="1:14">
      <c r="A268" s="3" t="s">
        <v>98</v>
      </c>
      <c r="B268" s="4">
        <v>45717</v>
      </c>
      <c r="C268" s="3" t="s">
        <v>8</v>
      </c>
      <c r="D268" s="3" t="s">
        <v>30</v>
      </c>
      <c r="E268" s="3">
        <v>56602.39</v>
      </c>
      <c r="F268" s="3">
        <v>7969</v>
      </c>
      <c r="G268" s="3">
        <v>0.17</v>
      </c>
      <c r="H268" s="3">
        <v>21</v>
      </c>
      <c r="I268" s="3">
        <v>88.3</v>
      </c>
      <c r="J268" s="3">
        <v>2.25</v>
      </c>
      <c r="K268" s="3">
        <v>0</v>
      </c>
      <c r="L268" s="3">
        <v>3.7</v>
      </c>
      <c r="M268" s="3">
        <v>745580.51</v>
      </c>
      <c r="N268" s="3">
        <v>116273.68</v>
      </c>
    </row>
    <row r="269" spans="1:14">
      <c r="A269" s="3" t="s">
        <v>98</v>
      </c>
      <c r="B269" s="4">
        <v>45748</v>
      </c>
      <c r="C269" s="3" t="s">
        <v>8</v>
      </c>
      <c r="D269" s="3" t="s">
        <v>30</v>
      </c>
      <c r="E269" s="3">
        <v>67722.289999999994</v>
      </c>
      <c r="F269" s="3">
        <v>7240</v>
      </c>
      <c r="G269" s="3">
        <v>2.5999999999999999E-2</v>
      </c>
      <c r="H269" s="3">
        <v>15</v>
      </c>
      <c r="I269" s="3">
        <v>92.9</v>
      </c>
      <c r="J269" s="3">
        <v>0.28999999999999998</v>
      </c>
      <c r="K269" s="3">
        <v>0</v>
      </c>
      <c r="L269" s="3">
        <v>3.5</v>
      </c>
      <c r="M269" s="3">
        <v>762328.31</v>
      </c>
      <c r="N269" s="3">
        <v>159158.19</v>
      </c>
    </row>
    <row r="270" spans="1:14">
      <c r="A270" s="3" t="s">
        <v>99</v>
      </c>
      <c r="B270" s="4">
        <v>45658</v>
      </c>
      <c r="C270" s="3" t="s">
        <v>8</v>
      </c>
      <c r="D270" s="3" t="s">
        <v>38</v>
      </c>
      <c r="E270" s="3">
        <v>48752.92</v>
      </c>
      <c r="F270" s="3">
        <v>8052</v>
      </c>
      <c r="G270" s="3">
        <v>0.106</v>
      </c>
      <c r="H270" s="3">
        <v>16</v>
      </c>
      <c r="I270" s="3">
        <v>94.9</v>
      </c>
      <c r="J270" s="3">
        <v>0.65</v>
      </c>
      <c r="K270" s="3">
        <v>0</v>
      </c>
      <c r="L270" s="3">
        <v>3.6</v>
      </c>
      <c r="M270" s="3">
        <v>660633.99</v>
      </c>
      <c r="N270" s="3">
        <v>118768.66</v>
      </c>
    </row>
    <row r="271" spans="1:14">
      <c r="A271" s="3" t="s">
        <v>99</v>
      </c>
      <c r="B271" s="4">
        <v>45689</v>
      </c>
      <c r="C271" s="3" t="s">
        <v>8</v>
      </c>
      <c r="D271" s="3" t="s">
        <v>38</v>
      </c>
      <c r="E271" s="3">
        <v>23914.97</v>
      </c>
      <c r="F271" s="3">
        <v>8018</v>
      </c>
      <c r="G271" s="3">
        <v>0.13900000000000001</v>
      </c>
      <c r="H271" s="3">
        <v>20</v>
      </c>
      <c r="I271" s="3">
        <v>89</v>
      </c>
      <c r="J271" s="3">
        <v>0.2</v>
      </c>
      <c r="K271" s="3">
        <v>0</v>
      </c>
      <c r="L271" s="3">
        <v>3.5</v>
      </c>
      <c r="M271" s="3">
        <v>739374.56</v>
      </c>
      <c r="N271" s="3">
        <v>121032.29</v>
      </c>
    </row>
    <row r="272" spans="1:14">
      <c r="A272" s="3" t="s">
        <v>99</v>
      </c>
      <c r="B272" s="4">
        <v>45717</v>
      </c>
      <c r="C272" s="3" t="s">
        <v>8</v>
      </c>
      <c r="D272" s="3" t="s">
        <v>38</v>
      </c>
      <c r="E272" s="3">
        <v>61995.3</v>
      </c>
      <c r="F272" s="3">
        <v>10192</v>
      </c>
      <c r="G272" s="3">
        <v>0.19800000000000001</v>
      </c>
      <c r="H272" s="3">
        <v>21</v>
      </c>
      <c r="I272" s="3">
        <v>87.6</v>
      </c>
      <c r="J272" s="3">
        <v>3.63</v>
      </c>
      <c r="K272" s="3">
        <v>1</v>
      </c>
      <c r="L272" s="3">
        <v>3.8</v>
      </c>
      <c r="M272" s="3">
        <v>799756.46</v>
      </c>
      <c r="N272" s="3">
        <v>105052.93</v>
      </c>
    </row>
    <row r="273" spans="1:14">
      <c r="A273" s="3" t="s">
        <v>99</v>
      </c>
      <c r="B273" s="4">
        <v>45748</v>
      </c>
      <c r="C273" s="3" t="s">
        <v>8</v>
      </c>
      <c r="D273" s="3" t="s">
        <v>38</v>
      </c>
      <c r="E273" s="3">
        <v>29344.93</v>
      </c>
      <c r="F273" s="3">
        <v>7446</v>
      </c>
      <c r="G273" s="3">
        <v>0.111</v>
      </c>
      <c r="H273" s="3">
        <v>15</v>
      </c>
      <c r="I273" s="3">
        <v>86.2</v>
      </c>
      <c r="J273" s="3">
        <v>0.2</v>
      </c>
      <c r="K273" s="3">
        <v>0</v>
      </c>
      <c r="L273" s="3">
        <v>3.2</v>
      </c>
      <c r="M273" s="3">
        <v>593343</v>
      </c>
      <c r="N273" s="3">
        <v>82832.240000000005</v>
      </c>
    </row>
    <row r="274" spans="1:14">
      <c r="A274" s="3" t="s">
        <v>100</v>
      </c>
      <c r="B274" s="4">
        <v>45658</v>
      </c>
      <c r="C274" s="3" t="s">
        <v>10</v>
      </c>
      <c r="D274" s="3" t="s">
        <v>30</v>
      </c>
      <c r="E274" s="3">
        <v>50532.17</v>
      </c>
      <c r="F274" s="3">
        <v>5689</v>
      </c>
      <c r="G274" s="3">
        <v>5.1999999999999998E-2</v>
      </c>
      <c r="H274" s="3">
        <v>17</v>
      </c>
      <c r="I274" s="3">
        <v>85.6</v>
      </c>
      <c r="J274" s="3">
        <v>6.23</v>
      </c>
      <c r="K274" s="3">
        <v>0</v>
      </c>
      <c r="L274" s="3">
        <v>3.3</v>
      </c>
      <c r="M274" s="3">
        <v>645039.97</v>
      </c>
      <c r="N274" s="3">
        <v>83093.33</v>
      </c>
    </row>
    <row r="275" spans="1:14">
      <c r="A275" s="3" t="s">
        <v>100</v>
      </c>
      <c r="B275" s="4">
        <v>45689</v>
      </c>
      <c r="C275" s="3" t="s">
        <v>10</v>
      </c>
      <c r="D275" s="3" t="s">
        <v>30</v>
      </c>
      <c r="E275" s="3">
        <v>17562.57</v>
      </c>
      <c r="F275" s="3">
        <v>3326</v>
      </c>
      <c r="G275" s="3">
        <v>0.153</v>
      </c>
      <c r="H275" s="3">
        <v>14</v>
      </c>
      <c r="I275" s="3">
        <v>88.1</v>
      </c>
      <c r="J275" s="3">
        <v>1.04</v>
      </c>
      <c r="K275" s="3">
        <v>0</v>
      </c>
      <c r="L275" s="3">
        <v>3.1</v>
      </c>
      <c r="M275" s="3">
        <v>561597.32999999996</v>
      </c>
      <c r="N275" s="3">
        <v>75072.75</v>
      </c>
    </row>
    <row r="276" spans="1:14">
      <c r="A276" s="3" t="s">
        <v>100</v>
      </c>
      <c r="B276" s="4">
        <v>45717</v>
      </c>
      <c r="C276" s="3" t="s">
        <v>10</v>
      </c>
      <c r="D276" s="3" t="s">
        <v>30</v>
      </c>
      <c r="E276" s="3">
        <v>47648.71</v>
      </c>
      <c r="F276" s="3">
        <v>5767</v>
      </c>
      <c r="G276" s="3">
        <v>0.14099999999999999</v>
      </c>
      <c r="H276" s="3">
        <v>17</v>
      </c>
      <c r="I276" s="3">
        <v>89.8</v>
      </c>
      <c r="J276" s="3">
        <v>1.76</v>
      </c>
      <c r="K276" s="3">
        <v>0</v>
      </c>
      <c r="L276" s="3">
        <v>3.1</v>
      </c>
      <c r="M276" s="3">
        <v>635837.74</v>
      </c>
      <c r="N276" s="3">
        <v>114740.64</v>
      </c>
    </row>
    <row r="277" spans="1:14">
      <c r="A277" s="3" t="s">
        <v>100</v>
      </c>
      <c r="B277" s="4">
        <v>45748</v>
      </c>
      <c r="C277" s="3" t="s">
        <v>10</v>
      </c>
      <c r="D277" s="3" t="s">
        <v>30</v>
      </c>
      <c r="E277" s="3">
        <v>38297.58</v>
      </c>
      <c r="F277" s="3">
        <v>5893</v>
      </c>
      <c r="G277" s="3">
        <v>0.247</v>
      </c>
      <c r="H277" s="3">
        <v>18</v>
      </c>
      <c r="I277" s="3">
        <v>77.599999999999994</v>
      </c>
      <c r="J277" s="3">
        <v>2.86</v>
      </c>
      <c r="K277" s="3">
        <v>0</v>
      </c>
      <c r="L277" s="3">
        <v>3</v>
      </c>
      <c r="M277" s="3">
        <v>686737.87</v>
      </c>
      <c r="N277" s="3">
        <v>83839.67</v>
      </c>
    </row>
    <row r="278" spans="1:14">
      <c r="A278" s="3" t="s">
        <v>101</v>
      </c>
      <c r="B278" s="4">
        <v>45658</v>
      </c>
      <c r="C278" s="3" t="s">
        <v>9</v>
      </c>
      <c r="D278" s="3" t="s">
        <v>28</v>
      </c>
      <c r="E278" s="3">
        <v>61784.11</v>
      </c>
      <c r="F278" s="3">
        <v>8564</v>
      </c>
      <c r="G278" s="3">
        <v>0.13</v>
      </c>
      <c r="H278" s="3">
        <v>17</v>
      </c>
      <c r="I278" s="3">
        <v>87.4</v>
      </c>
      <c r="J278" s="3">
        <v>18.14</v>
      </c>
      <c r="K278" s="3">
        <v>1</v>
      </c>
      <c r="L278" s="3">
        <v>3.4</v>
      </c>
      <c r="M278" s="3">
        <v>673076.34</v>
      </c>
      <c r="N278" s="3">
        <v>93899.76</v>
      </c>
    </row>
    <row r="279" spans="1:14">
      <c r="A279" s="3" t="s">
        <v>101</v>
      </c>
      <c r="B279" s="4">
        <v>45689</v>
      </c>
      <c r="C279" s="3" t="s">
        <v>9</v>
      </c>
      <c r="D279" s="3" t="s">
        <v>28</v>
      </c>
      <c r="E279" s="3">
        <v>36832.33</v>
      </c>
      <c r="F279" s="3">
        <v>8001</v>
      </c>
      <c r="G279" s="3">
        <v>0</v>
      </c>
      <c r="H279" s="3">
        <v>19</v>
      </c>
      <c r="I279" s="3">
        <v>88.7</v>
      </c>
      <c r="J279" s="3">
        <v>3.39</v>
      </c>
      <c r="K279" s="3">
        <v>0</v>
      </c>
      <c r="L279" s="3">
        <v>4</v>
      </c>
      <c r="M279" s="3">
        <v>738548.42</v>
      </c>
      <c r="N279" s="3">
        <v>134282.76999999999</v>
      </c>
    </row>
    <row r="280" spans="1:14">
      <c r="A280" s="3" t="s">
        <v>101</v>
      </c>
      <c r="B280" s="4">
        <v>45717</v>
      </c>
      <c r="C280" s="3" t="s">
        <v>9</v>
      </c>
      <c r="D280" s="3" t="s">
        <v>28</v>
      </c>
      <c r="E280" s="3">
        <v>48609.41</v>
      </c>
      <c r="F280" s="3">
        <v>9324</v>
      </c>
      <c r="G280" s="3">
        <v>0.21299999999999999</v>
      </c>
      <c r="H280" s="3">
        <v>18</v>
      </c>
      <c r="I280" s="3">
        <v>86.5</v>
      </c>
      <c r="J280" s="3">
        <v>1.44</v>
      </c>
      <c r="K280" s="3">
        <v>0</v>
      </c>
      <c r="L280" s="3">
        <v>3.9</v>
      </c>
      <c r="M280" s="3">
        <v>756619.77</v>
      </c>
      <c r="N280" s="3">
        <v>112057.69</v>
      </c>
    </row>
    <row r="281" spans="1:14">
      <c r="A281" s="3" t="s">
        <v>101</v>
      </c>
      <c r="B281" s="4">
        <v>45748</v>
      </c>
      <c r="C281" s="3" t="s">
        <v>9</v>
      </c>
      <c r="D281" s="3" t="s">
        <v>28</v>
      </c>
      <c r="E281" s="3">
        <v>70284.06</v>
      </c>
      <c r="F281" s="3">
        <v>9109</v>
      </c>
      <c r="G281" s="3">
        <v>4.0000000000000001E-3</v>
      </c>
      <c r="H281" s="3">
        <v>23</v>
      </c>
      <c r="I281" s="3">
        <v>87</v>
      </c>
      <c r="J281" s="3">
        <v>3.65</v>
      </c>
      <c r="K281" s="3">
        <v>0</v>
      </c>
      <c r="L281" s="3">
        <v>3.7</v>
      </c>
      <c r="M281" s="3">
        <v>761122.42</v>
      </c>
      <c r="N281" s="3">
        <v>149802.04</v>
      </c>
    </row>
    <row r="282" spans="1:14">
      <c r="A282" s="3" t="s">
        <v>102</v>
      </c>
      <c r="B282" s="4">
        <v>45658</v>
      </c>
      <c r="C282" s="3" t="s">
        <v>9</v>
      </c>
      <c r="D282" s="3" t="s">
        <v>30</v>
      </c>
      <c r="E282" s="3">
        <v>45940.39</v>
      </c>
      <c r="F282" s="3">
        <v>4022</v>
      </c>
      <c r="G282" s="3">
        <v>6.9000000000000006E-2</v>
      </c>
      <c r="H282" s="3">
        <v>10</v>
      </c>
      <c r="I282" s="3">
        <v>83</v>
      </c>
      <c r="J282" s="3">
        <v>1.23</v>
      </c>
      <c r="K282" s="3">
        <v>1</v>
      </c>
      <c r="L282" s="3">
        <v>3.8</v>
      </c>
      <c r="M282" s="3">
        <v>524899.56999999995</v>
      </c>
      <c r="N282" s="3">
        <v>63619.98</v>
      </c>
    </row>
    <row r="283" spans="1:14">
      <c r="A283" s="3" t="s">
        <v>102</v>
      </c>
      <c r="B283" s="4">
        <v>45689</v>
      </c>
      <c r="C283" s="3" t="s">
        <v>9</v>
      </c>
      <c r="D283" s="3" t="s">
        <v>30</v>
      </c>
      <c r="E283" s="3">
        <v>34771.26</v>
      </c>
      <c r="F283" s="3">
        <v>4355</v>
      </c>
      <c r="G283" s="3">
        <v>5.0999999999999997E-2</v>
      </c>
      <c r="H283" s="3">
        <v>15</v>
      </c>
      <c r="I283" s="3">
        <v>87.9</v>
      </c>
      <c r="J283" s="3">
        <v>3.09</v>
      </c>
      <c r="K283" s="3">
        <v>0</v>
      </c>
      <c r="L283" s="3">
        <v>4</v>
      </c>
      <c r="M283" s="3">
        <v>555557.77</v>
      </c>
      <c r="N283" s="3">
        <v>86475.51</v>
      </c>
    </row>
    <row r="284" spans="1:14">
      <c r="A284" s="3" t="s">
        <v>102</v>
      </c>
      <c r="B284" s="4">
        <v>45717</v>
      </c>
      <c r="C284" s="3" t="s">
        <v>9</v>
      </c>
      <c r="D284" s="3" t="s">
        <v>30</v>
      </c>
      <c r="E284" s="3">
        <v>66104.19</v>
      </c>
      <c r="F284" s="3">
        <v>5745</v>
      </c>
      <c r="G284" s="3">
        <v>7.0000000000000007E-2</v>
      </c>
      <c r="H284" s="3">
        <v>17</v>
      </c>
      <c r="I284" s="3">
        <v>95.8</v>
      </c>
      <c r="J284" s="3">
        <v>3.15</v>
      </c>
      <c r="K284" s="3">
        <v>0</v>
      </c>
      <c r="L284" s="3">
        <v>4</v>
      </c>
      <c r="M284" s="3">
        <v>714083.68</v>
      </c>
      <c r="N284" s="3">
        <v>127231.74</v>
      </c>
    </row>
    <row r="285" spans="1:14">
      <c r="A285" s="3" t="s">
        <v>102</v>
      </c>
      <c r="B285" s="4">
        <v>45748</v>
      </c>
      <c r="C285" s="3" t="s">
        <v>9</v>
      </c>
      <c r="D285" s="3" t="s">
        <v>30</v>
      </c>
      <c r="E285" s="3">
        <v>18599.21</v>
      </c>
      <c r="F285" s="3">
        <v>3027</v>
      </c>
      <c r="G285" s="3">
        <v>0.122</v>
      </c>
      <c r="H285" s="3">
        <v>11</v>
      </c>
      <c r="I285" s="3">
        <v>80.900000000000006</v>
      </c>
      <c r="J285" s="3">
        <v>6.44</v>
      </c>
      <c r="K285" s="3">
        <v>0</v>
      </c>
      <c r="L285" s="3">
        <v>4.2</v>
      </c>
      <c r="M285" s="3">
        <v>497439.82</v>
      </c>
      <c r="N285" s="3">
        <v>93372.75</v>
      </c>
    </row>
    <row r="286" spans="1:14">
      <c r="A286" s="3" t="s">
        <v>103</v>
      </c>
      <c r="B286" s="4">
        <v>45658</v>
      </c>
      <c r="C286" s="3" t="s">
        <v>10</v>
      </c>
      <c r="D286" s="3" t="s">
        <v>28</v>
      </c>
      <c r="E286" s="3">
        <v>60183.06</v>
      </c>
      <c r="F286" s="3">
        <v>5562</v>
      </c>
      <c r="G286" s="3">
        <v>8.9999999999999993E-3</v>
      </c>
      <c r="H286" s="3">
        <v>13</v>
      </c>
      <c r="I286" s="3">
        <v>86.3</v>
      </c>
      <c r="J286" s="3">
        <v>0.2</v>
      </c>
      <c r="K286" s="3">
        <v>1</v>
      </c>
      <c r="L286" s="3">
        <v>4.5</v>
      </c>
      <c r="M286" s="3">
        <v>636775.66</v>
      </c>
      <c r="N286" s="3">
        <v>122636.86</v>
      </c>
    </row>
    <row r="287" spans="1:14">
      <c r="A287" s="3" t="s">
        <v>103</v>
      </c>
      <c r="B287" s="4">
        <v>45689</v>
      </c>
      <c r="C287" s="3" t="s">
        <v>10</v>
      </c>
      <c r="D287" s="3" t="s">
        <v>28</v>
      </c>
      <c r="E287" s="3">
        <v>74539.14</v>
      </c>
      <c r="F287" s="3">
        <v>4487</v>
      </c>
      <c r="G287" s="3">
        <v>0.14000000000000001</v>
      </c>
      <c r="H287" s="3">
        <v>10</v>
      </c>
      <c r="I287" s="3">
        <v>90.4</v>
      </c>
      <c r="J287" s="3">
        <v>0.59</v>
      </c>
      <c r="K287" s="3">
        <v>0</v>
      </c>
      <c r="L287" s="3">
        <v>4.5</v>
      </c>
      <c r="M287" s="3">
        <v>633009.53</v>
      </c>
      <c r="N287" s="3">
        <v>123782.67</v>
      </c>
    </row>
    <row r="288" spans="1:14">
      <c r="A288" s="3" t="s">
        <v>103</v>
      </c>
      <c r="B288" s="4">
        <v>45717</v>
      </c>
      <c r="C288" s="3" t="s">
        <v>10</v>
      </c>
      <c r="D288" s="3" t="s">
        <v>28</v>
      </c>
      <c r="E288" s="3">
        <v>55371.97</v>
      </c>
      <c r="F288" s="3">
        <v>4162</v>
      </c>
      <c r="G288" s="3">
        <v>0.183</v>
      </c>
      <c r="H288" s="3">
        <v>11</v>
      </c>
      <c r="I288" s="3">
        <v>92</v>
      </c>
      <c r="J288" s="3">
        <v>0.2</v>
      </c>
      <c r="K288" s="3">
        <v>1</v>
      </c>
      <c r="L288" s="3">
        <v>4.2</v>
      </c>
      <c r="M288" s="3">
        <v>609949</v>
      </c>
      <c r="N288" s="3">
        <v>126789.25</v>
      </c>
    </row>
    <row r="289" spans="1:14">
      <c r="A289" s="3" t="s">
        <v>103</v>
      </c>
      <c r="B289" s="4">
        <v>45748</v>
      </c>
      <c r="C289" s="3" t="s">
        <v>10</v>
      </c>
      <c r="D289" s="3" t="s">
        <v>28</v>
      </c>
      <c r="E289" s="3">
        <v>40928.69</v>
      </c>
      <c r="F289" s="3">
        <v>4094</v>
      </c>
      <c r="G289" s="3">
        <v>0.17399999999999999</v>
      </c>
      <c r="H289" s="3">
        <v>13</v>
      </c>
      <c r="I289" s="3">
        <v>82.4</v>
      </c>
      <c r="J289" s="3">
        <v>1.36</v>
      </c>
      <c r="K289" s="3">
        <v>0</v>
      </c>
      <c r="L289" s="3">
        <v>4.8</v>
      </c>
      <c r="M289" s="3">
        <v>548103.69999999995</v>
      </c>
      <c r="N289" s="3">
        <v>99905.52</v>
      </c>
    </row>
    <row r="290" spans="1:14">
      <c r="A290" s="3" t="s">
        <v>104</v>
      </c>
      <c r="B290" s="4">
        <v>45658</v>
      </c>
      <c r="C290" s="3" t="s">
        <v>8</v>
      </c>
      <c r="D290" s="3" t="s">
        <v>28</v>
      </c>
      <c r="E290" s="3">
        <v>70012.41</v>
      </c>
      <c r="F290" s="3">
        <v>8484</v>
      </c>
      <c r="G290" s="3">
        <v>0.27300000000000002</v>
      </c>
      <c r="H290" s="3">
        <v>23</v>
      </c>
      <c r="I290" s="3">
        <v>72.900000000000006</v>
      </c>
      <c r="J290" s="3">
        <v>3.34</v>
      </c>
      <c r="K290" s="3">
        <v>0</v>
      </c>
      <c r="L290" s="3">
        <v>3.7</v>
      </c>
      <c r="M290" s="3">
        <v>729424.42</v>
      </c>
      <c r="N290" s="3">
        <v>75592.28</v>
      </c>
    </row>
    <row r="291" spans="1:14">
      <c r="A291" s="3" t="s">
        <v>104</v>
      </c>
      <c r="B291" s="4">
        <v>45689</v>
      </c>
      <c r="C291" s="3" t="s">
        <v>8</v>
      </c>
      <c r="D291" s="3" t="s">
        <v>28</v>
      </c>
      <c r="E291" s="3">
        <v>68909.259999999995</v>
      </c>
      <c r="F291" s="3">
        <v>7794</v>
      </c>
      <c r="G291" s="3">
        <v>0.28399999999999997</v>
      </c>
      <c r="H291" s="3">
        <v>22</v>
      </c>
      <c r="I291" s="3">
        <v>89</v>
      </c>
      <c r="J291" s="3">
        <v>0.33</v>
      </c>
      <c r="K291" s="3">
        <v>0</v>
      </c>
      <c r="L291" s="3">
        <v>4</v>
      </c>
      <c r="M291" s="3">
        <v>696261.49</v>
      </c>
      <c r="N291" s="3">
        <v>72455.350000000006</v>
      </c>
    </row>
    <row r="292" spans="1:14">
      <c r="A292" s="3" t="s">
        <v>104</v>
      </c>
      <c r="B292" s="4">
        <v>45717</v>
      </c>
      <c r="C292" s="3" t="s">
        <v>8</v>
      </c>
      <c r="D292" s="3" t="s">
        <v>28</v>
      </c>
      <c r="E292" s="3">
        <v>56737.3</v>
      </c>
      <c r="F292" s="3">
        <v>8300</v>
      </c>
      <c r="G292" s="3">
        <v>3.2000000000000001E-2</v>
      </c>
      <c r="H292" s="3">
        <v>21</v>
      </c>
      <c r="I292" s="3">
        <v>83.2</v>
      </c>
      <c r="J292" s="3">
        <v>3.44</v>
      </c>
      <c r="K292" s="3">
        <v>1</v>
      </c>
      <c r="L292" s="3">
        <v>4.3</v>
      </c>
      <c r="M292" s="3">
        <v>813316.71</v>
      </c>
      <c r="N292" s="3">
        <v>110077.42</v>
      </c>
    </row>
    <row r="293" spans="1:14">
      <c r="A293" s="3" t="s">
        <v>104</v>
      </c>
      <c r="B293" s="4">
        <v>45748</v>
      </c>
      <c r="C293" s="3" t="s">
        <v>8</v>
      </c>
      <c r="D293" s="3" t="s">
        <v>28</v>
      </c>
      <c r="E293" s="3">
        <v>54080.91</v>
      </c>
      <c r="F293" s="3">
        <v>7083</v>
      </c>
      <c r="G293" s="3">
        <v>0</v>
      </c>
      <c r="H293" s="3">
        <v>15</v>
      </c>
      <c r="I293" s="3">
        <v>97</v>
      </c>
      <c r="J293" s="3">
        <v>5.33</v>
      </c>
      <c r="K293" s="3">
        <v>0</v>
      </c>
      <c r="L293" s="3">
        <v>4.0999999999999996</v>
      </c>
      <c r="M293" s="3">
        <v>702068.92</v>
      </c>
      <c r="N293" s="3">
        <v>111266.63</v>
      </c>
    </row>
    <row r="294" spans="1:14">
      <c r="A294" s="3" t="s">
        <v>105</v>
      </c>
      <c r="B294" s="4">
        <v>45658</v>
      </c>
      <c r="C294" s="3" t="s">
        <v>10</v>
      </c>
      <c r="D294" s="3" t="s">
        <v>30</v>
      </c>
      <c r="E294" s="3">
        <v>51996.32</v>
      </c>
      <c r="F294" s="3">
        <v>3834</v>
      </c>
      <c r="G294" s="3">
        <v>9.6000000000000002E-2</v>
      </c>
      <c r="H294" s="3">
        <v>8</v>
      </c>
      <c r="I294" s="3">
        <v>86.7</v>
      </c>
      <c r="J294" s="3">
        <v>6.04</v>
      </c>
      <c r="K294" s="3">
        <v>0</v>
      </c>
      <c r="L294" s="3">
        <v>4.5</v>
      </c>
      <c r="M294" s="3">
        <v>546223.69999999995</v>
      </c>
      <c r="N294" s="3">
        <v>100769.17</v>
      </c>
    </row>
    <row r="295" spans="1:14">
      <c r="A295" s="3" t="s">
        <v>105</v>
      </c>
      <c r="B295" s="4">
        <v>45689</v>
      </c>
      <c r="C295" s="3" t="s">
        <v>10</v>
      </c>
      <c r="D295" s="3" t="s">
        <v>30</v>
      </c>
      <c r="E295" s="3">
        <v>40102.879999999997</v>
      </c>
      <c r="F295" s="3">
        <v>2358</v>
      </c>
      <c r="G295" s="3">
        <v>0.11899999999999999</v>
      </c>
      <c r="H295" s="3">
        <v>9</v>
      </c>
      <c r="I295" s="3">
        <v>88.7</v>
      </c>
      <c r="J295" s="3">
        <v>1.6</v>
      </c>
      <c r="K295" s="3">
        <v>0</v>
      </c>
      <c r="L295" s="3">
        <v>4.2</v>
      </c>
      <c r="M295" s="3">
        <v>533121.26</v>
      </c>
      <c r="N295" s="3">
        <v>55063.39</v>
      </c>
    </row>
    <row r="296" spans="1:14">
      <c r="A296" s="3" t="s">
        <v>105</v>
      </c>
      <c r="B296" s="4">
        <v>45717</v>
      </c>
      <c r="C296" s="3" t="s">
        <v>10</v>
      </c>
      <c r="D296" s="3" t="s">
        <v>30</v>
      </c>
      <c r="E296" s="3">
        <v>59825.51</v>
      </c>
      <c r="F296" s="3">
        <v>1231</v>
      </c>
      <c r="G296" s="3">
        <v>0.214</v>
      </c>
      <c r="H296" s="3">
        <v>10</v>
      </c>
      <c r="I296" s="3">
        <v>84.8</v>
      </c>
      <c r="J296" s="3">
        <v>8.9600000000000009</v>
      </c>
      <c r="K296" s="3">
        <v>0</v>
      </c>
      <c r="L296" s="3">
        <v>4.7</v>
      </c>
      <c r="M296" s="3">
        <v>498970.32</v>
      </c>
      <c r="N296" s="3">
        <v>69656.7</v>
      </c>
    </row>
    <row r="297" spans="1:14">
      <c r="A297" s="3" t="s">
        <v>105</v>
      </c>
      <c r="B297" s="4">
        <v>45748</v>
      </c>
      <c r="C297" s="3" t="s">
        <v>10</v>
      </c>
      <c r="D297" s="3" t="s">
        <v>30</v>
      </c>
      <c r="E297" s="3">
        <v>27398.28</v>
      </c>
      <c r="F297" s="3">
        <v>1723</v>
      </c>
      <c r="G297" s="3">
        <v>0.17100000000000001</v>
      </c>
      <c r="H297" s="3">
        <v>9</v>
      </c>
      <c r="I297" s="3">
        <v>81</v>
      </c>
      <c r="J297" s="3">
        <v>0.74</v>
      </c>
      <c r="K297" s="3">
        <v>0</v>
      </c>
      <c r="L297" s="3">
        <v>4.5999999999999996</v>
      </c>
      <c r="M297" s="3">
        <v>487738.26</v>
      </c>
      <c r="N297" s="3">
        <v>96435.6</v>
      </c>
    </row>
    <row r="298" spans="1:14">
      <c r="A298" s="3" t="s">
        <v>106</v>
      </c>
      <c r="B298" s="4">
        <v>45658</v>
      </c>
      <c r="C298" s="3" t="s">
        <v>10</v>
      </c>
      <c r="D298" s="3" t="s">
        <v>30</v>
      </c>
      <c r="E298" s="3">
        <v>55599.56</v>
      </c>
      <c r="F298" s="3">
        <v>5896</v>
      </c>
      <c r="G298" s="3">
        <v>3.5999999999999997E-2</v>
      </c>
      <c r="H298" s="3">
        <v>12</v>
      </c>
      <c r="I298" s="3">
        <v>93.1</v>
      </c>
      <c r="J298" s="3">
        <v>6.13</v>
      </c>
      <c r="K298" s="3">
        <v>0</v>
      </c>
      <c r="L298" s="3">
        <v>3.3</v>
      </c>
      <c r="M298" s="3">
        <v>668459.37</v>
      </c>
      <c r="N298" s="3">
        <v>126435.42</v>
      </c>
    </row>
    <row r="299" spans="1:14">
      <c r="A299" s="3" t="s">
        <v>106</v>
      </c>
      <c r="B299" s="4">
        <v>45689</v>
      </c>
      <c r="C299" s="3" t="s">
        <v>10</v>
      </c>
      <c r="D299" s="3" t="s">
        <v>30</v>
      </c>
      <c r="E299" s="3">
        <v>55477.61</v>
      </c>
      <c r="F299" s="3">
        <v>5903</v>
      </c>
      <c r="G299" s="3">
        <v>0.10199999999999999</v>
      </c>
      <c r="H299" s="3">
        <v>14</v>
      </c>
      <c r="I299" s="3">
        <v>96.2</v>
      </c>
      <c r="J299" s="3">
        <v>1.41</v>
      </c>
      <c r="K299" s="3">
        <v>0</v>
      </c>
      <c r="L299" s="3">
        <v>3.3</v>
      </c>
      <c r="M299" s="3">
        <v>763162.45</v>
      </c>
      <c r="N299" s="3">
        <v>162524.04999999999</v>
      </c>
    </row>
    <row r="300" spans="1:14">
      <c r="A300" s="3" t="s">
        <v>106</v>
      </c>
      <c r="B300" s="4">
        <v>45717</v>
      </c>
      <c r="C300" s="3" t="s">
        <v>10</v>
      </c>
      <c r="D300" s="3" t="s">
        <v>30</v>
      </c>
      <c r="E300" s="3">
        <v>46174.7</v>
      </c>
      <c r="F300" s="3">
        <v>4898</v>
      </c>
      <c r="G300" s="3">
        <v>0.114</v>
      </c>
      <c r="H300" s="3">
        <v>11</v>
      </c>
      <c r="I300" s="3">
        <v>91.7</v>
      </c>
      <c r="J300" s="3">
        <v>3.75</v>
      </c>
      <c r="K300" s="3">
        <v>0</v>
      </c>
      <c r="L300" s="3">
        <v>3.1</v>
      </c>
      <c r="M300" s="3">
        <v>599017.32999999996</v>
      </c>
      <c r="N300" s="3">
        <v>134009.92000000001</v>
      </c>
    </row>
    <row r="301" spans="1:14">
      <c r="A301" s="3" t="s">
        <v>106</v>
      </c>
      <c r="B301" s="4">
        <v>45748</v>
      </c>
      <c r="C301" s="3" t="s">
        <v>10</v>
      </c>
      <c r="D301" s="3" t="s">
        <v>30</v>
      </c>
      <c r="E301" s="3">
        <v>24362.98</v>
      </c>
      <c r="F301" s="3">
        <v>1462</v>
      </c>
      <c r="G301" s="3">
        <v>0.11700000000000001</v>
      </c>
      <c r="H301" s="3">
        <v>6</v>
      </c>
      <c r="I301" s="3">
        <v>89.3</v>
      </c>
      <c r="J301" s="3">
        <v>15.06</v>
      </c>
      <c r="K301" s="3">
        <v>0</v>
      </c>
      <c r="L301" s="3">
        <v>3.2</v>
      </c>
      <c r="M301" s="3">
        <v>401582.58</v>
      </c>
      <c r="N301" s="3">
        <v>68454.929999999993</v>
      </c>
    </row>
    <row r="302" spans="1:14">
      <c r="A302" s="3" t="s">
        <v>107</v>
      </c>
      <c r="B302" s="4">
        <v>45658</v>
      </c>
      <c r="C302" s="3" t="s">
        <v>32</v>
      </c>
      <c r="D302" s="3" t="s">
        <v>38</v>
      </c>
      <c r="E302" s="3">
        <v>40647.67</v>
      </c>
      <c r="F302" s="3">
        <v>8252</v>
      </c>
      <c r="G302" s="3">
        <v>0.14099999999999999</v>
      </c>
      <c r="H302" s="3">
        <v>22</v>
      </c>
      <c r="I302" s="3">
        <v>88.2</v>
      </c>
      <c r="J302" s="3">
        <v>5.07</v>
      </c>
      <c r="K302" s="3">
        <v>1</v>
      </c>
      <c r="L302" s="3">
        <v>4.0999999999999996</v>
      </c>
      <c r="M302" s="3">
        <v>703812.99</v>
      </c>
      <c r="N302" s="3">
        <v>133577.98000000001</v>
      </c>
    </row>
    <row r="303" spans="1:14">
      <c r="A303" s="3" t="s">
        <v>107</v>
      </c>
      <c r="B303" s="4">
        <v>45689</v>
      </c>
      <c r="C303" s="3" t="s">
        <v>32</v>
      </c>
      <c r="D303" s="3" t="s">
        <v>38</v>
      </c>
      <c r="E303" s="3">
        <v>63986.98</v>
      </c>
      <c r="F303" s="3">
        <v>7989</v>
      </c>
      <c r="G303" s="3">
        <v>7.3999999999999996E-2</v>
      </c>
      <c r="H303" s="3">
        <v>20</v>
      </c>
      <c r="I303" s="3">
        <v>83.3</v>
      </c>
      <c r="J303" s="3">
        <v>3.6</v>
      </c>
      <c r="K303" s="3">
        <v>0</v>
      </c>
      <c r="L303" s="3">
        <v>3.7</v>
      </c>
      <c r="M303" s="3">
        <v>724346.73</v>
      </c>
      <c r="N303" s="3">
        <v>155013.91</v>
      </c>
    </row>
    <row r="304" spans="1:14">
      <c r="A304" s="3" t="s">
        <v>107</v>
      </c>
      <c r="B304" s="4">
        <v>45717</v>
      </c>
      <c r="C304" s="3" t="s">
        <v>32</v>
      </c>
      <c r="D304" s="3" t="s">
        <v>38</v>
      </c>
      <c r="E304" s="3">
        <v>52843.75</v>
      </c>
      <c r="F304" s="3">
        <v>8268</v>
      </c>
      <c r="G304" s="3">
        <v>0.13800000000000001</v>
      </c>
      <c r="H304" s="3">
        <v>19</v>
      </c>
      <c r="I304" s="3">
        <v>87.3</v>
      </c>
      <c r="J304" s="3">
        <v>4.3899999999999997</v>
      </c>
      <c r="K304" s="3">
        <v>1</v>
      </c>
      <c r="L304" s="3">
        <v>4.7</v>
      </c>
      <c r="M304" s="3">
        <v>730890.01</v>
      </c>
      <c r="N304" s="3">
        <v>105502.56</v>
      </c>
    </row>
    <row r="305" spans="1:14">
      <c r="A305" s="3" t="s">
        <v>107</v>
      </c>
      <c r="B305" s="4">
        <v>45748</v>
      </c>
      <c r="C305" s="3" t="s">
        <v>32</v>
      </c>
      <c r="D305" s="3" t="s">
        <v>38</v>
      </c>
      <c r="E305" s="3">
        <v>31997.25</v>
      </c>
      <c r="F305" s="3">
        <v>8183</v>
      </c>
      <c r="G305" s="3">
        <v>0.19800000000000001</v>
      </c>
      <c r="H305" s="3">
        <v>18</v>
      </c>
      <c r="I305" s="3">
        <v>93</v>
      </c>
      <c r="J305" s="3">
        <v>2.79</v>
      </c>
      <c r="K305" s="3">
        <v>0</v>
      </c>
      <c r="L305" s="3">
        <v>4.2</v>
      </c>
      <c r="M305" s="3">
        <v>780580.95</v>
      </c>
      <c r="N305" s="3">
        <v>138144.46</v>
      </c>
    </row>
    <row r="306" spans="1:14">
      <c r="A306" s="3" t="s">
        <v>108</v>
      </c>
      <c r="B306" s="4">
        <v>45658</v>
      </c>
      <c r="C306" s="3" t="s">
        <v>9</v>
      </c>
      <c r="D306" s="3" t="s">
        <v>28</v>
      </c>
      <c r="E306" s="3">
        <v>54948.02</v>
      </c>
      <c r="F306" s="3">
        <v>6534</v>
      </c>
      <c r="G306" s="3">
        <v>0.183</v>
      </c>
      <c r="H306" s="3">
        <v>14</v>
      </c>
      <c r="I306" s="3">
        <v>94.5</v>
      </c>
      <c r="J306" s="3">
        <v>1.56</v>
      </c>
      <c r="K306" s="3">
        <v>0</v>
      </c>
      <c r="L306" s="3">
        <v>4</v>
      </c>
      <c r="M306" s="3">
        <v>727957.48</v>
      </c>
      <c r="N306" s="3">
        <v>74805.23</v>
      </c>
    </row>
    <row r="307" spans="1:14">
      <c r="A307" s="3" t="s">
        <v>108</v>
      </c>
      <c r="B307" s="4">
        <v>45689</v>
      </c>
      <c r="C307" s="3" t="s">
        <v>9</v>
      </c>
      <c r="D307" s="3" t="s">
        <v>28</v>
      </c>
      <c r="E307" s="3">
        <v>46146.239999999998</v>
      </c>
      <c r="F307" s="3">
        <v>5804</v>
      </c>
      <c r="G307" s="3">
        <v>4.7E-2</v>
      </c>
      <c r="H307" s="3">
        <v>16</v>
      </c>
      <c r="I307" s="3">
        <v>86.9</v>
      </c>
      <c r="J307" s="3">
        <v>15.82</v>
      </c>
      <c r="K307" s="3">
        <v>0</v>
      </c>
      <c r="L307" s="3">
        <v>3.8</v>
      </c>
      <c r="M307" s="3">
        <v>538376</v>
      </c>
      <c r="N307" s="3">
        <v>87605.62</v>
      </c>
    </row>
    <row r="308" spans="1:14">
      <c r="A308" s="3" t="s">
        <v>108</v>
      </c>
      <c r="B308" s="4">
        <v>45717</v>
      </c>
      <c r="C308" s="3" t="s">
        <v>9</v>
      </c>
      <c r="D308" s="3" t="s">
        <v>28</v>
      </c>
      <c r="E308" s="3">
        <v>22387.26</v>
      </c>
      <c r="F308" s="3">
        <v>6301</v>
      </c>
      <c r="G308" s="3">
        <v>0.14599999999999999</v>
      </c>
      <c r="H308" s="3">
        <v>14</v>
      </c>
      <c r="I308" s="3">
        <v>85.9</v>
      </c>
      <c r="J308" s="3">
        <v>1.17</v>
      </c>
      <c r="K308" s="3">
        <v>1</v>
      </c>
      <c r="L308" s="3">
        <v>3.7</v>
      </c>
      <c r="M308" s="3">
        <v>665342.49</v>
      </c>
      <c r="N308" s="3">
        <v>93441.81</v>
      </c>
    </row>
    <row r="309" spans="1:14">
      <c r="A309" s="3" t="s">
        <v>108</v>
      </c>
      <c r="B309" s="4">
        <v>45748</v>
      </c>
      <c r="C309" s="3" t="s">
        <v>9</v>
      </c>
      <c r="D309" s="3" t="s">
        <v>28</v>
      </c>
      <c r="E309" s="3">
        <v>60684.05</v>
      </c>
      <c r="F309" s="3">
        <v>6399</v>
      </c>
      <c r="G309" s="3">
        <v>7.4999999999999997E-2</v>
      </c>
      <c r="H309" s="3">
        <v>16</v>
      </c>
      <c r="I309" s="3">
        <v>99</v>
      </c>
      <c r="J309" s="3">
        <v>3.82</v>
      </c>
      <c r="K309" s="3">
        <v>0</v>
      </c>
      <c r="L309" s="3">
        <v>3.5</v>
      </c>
      <c r="M309" s="3">
        <v>651164.18000000005</v>
      </c>
      <c r="N309" s="3">
        <v>109466.5</v>
      </c>
    </row>
    <row r="310" spans="1:14">
      <c r="A310" s="3" t="s">
        <v>109</v>
      </c>
      <c r="B310" s="4">
        <v>45658</v>
      </c>
      <c r="C310" s="3" t="s">
        <v>9</v>
      </c>
      <c r="D310" s="3" t="s">
        <v>30</v>
      </c>
      <c r="E310" s="3">
        <v>48465.599999999999</v>
      </c>
      <c r="F310" s="3">
        <v>5759</v>
      </c>
      <c r="G310" s="3">
        <v>0.154</v>
      </c>
      <c r="H310" s="3">
        <v>13</v>
      </c>
      <c r="I310" s="3">
        <v>87.5</v>
      </c>
      <c r="J310" s="3">
        <v>4.1399999999999997</v>
      </c>
      <c r="K310" s="3">
        <v>0</v>
      </c>
      <c r="L310" s="3">
        <v>4</v>
      </c>
      <c r="M310" s="3">
        <v>628538.30000000005</v>
      </c>
      <c r="N310" s="3">
        <v>112509.15</v>
      </c>
    </row>
    <row r="311" spans="1:14">
      <c r="A311" s="3" t="s">
        <v>109</v>
      </c>
      <c r="B311" s="4">
        <v>45689</v>
      </c>
      <c r="C311" s="3" t="s">
        <v>9</v>
      </c>
      <c r="D311" s="3" t="s">
        <v>30</v>
      </c>
      <c r="E311" s="3">
        <v>23702.38</v>
      </c>
      <c r="F311" s="3">
        <v>5285</v>
      </c>
      <c r="G311" s="3">
        <v>0.16700000000000001</v>
      </c>
      <c r="H311" s="3">
        <v>14</v>
      </c>
      <c r="I311" s="3">
        <v>79.7</v>
      </c>
      <c r="J311" s="3">
        <v>1.1000000000000001</v>
      </c>
      <c r="K311" s="3">
        <v>0</v>
      </c>
      <c r="L311" s="3">
        <v>4.3</v>
      </c>
      <c r="M311" s="3">
        <v>536524.84</v>
      </c>
      <c r="N311" s="3">
        <v>92752.94</v>
      </c>
    </row>
    <row r="312" spans="1:14">
      <c r="A312" s="3" t="s">
        <v>109</v>
      </c>
      <c r="B312" s="4">
        <v>45717</v>
      </c>
      <c r="C312" s="3" t="s">
        <v>9</v>
      </c>
      <c r="D312" s="3" t="s">
        <v>30</v>
      </c>
      <c r="E312" s="3">
        <v>54322.94</v>
      </c>
      <c r="F312" s="3">
        <v>5434</v>
      </c>
      <c r="G312" s="3">
        <v>0.2</v>
      </c>
      <c r="H312" s="3">
        <v>13</v>
      </c>
      <c r="I312" s="3">
        <v>85.7</v>
      </c>
      <c r="J312" s="3">
        <v>10.6</v>
      </c>
      <c r="K312" s="3">
        <v>0</v>
      </c>
      <c r="L312" s="3">
        <v>4.2</v>
      </c>
      <c r="M312" s="3">
        <v>621677.30000000005</v>
      </c>
      <c r="N312" s="3">
        <v>105192.52</v>
      </c>
    </row>
    <row r="313" spans="1:14">
      <c r="A313" s="3" t="s">
        <v>109</v>
      </c>
      <c r="B313" s="4">
        <v>45748</v>
      </c>
      <c r="C313" s="3" t="s">
        <v>9</v>
      </c>
      <c r="D313" s="3" t="s">
        <v>30</v>
      </c>
      <c r="E313" s="3">
        <v>86026.58</v>
      </c>
      <c r="F313" s="3">
        <v>7479</v>
      </c>
      <c r="G313" s="3">
        <v>0.14199999999999999</v>
      </c>
      <c r="H313" s="3">
        <v>20</v>
      </c>
      <c r="I313" s="3">
        <v>89</v>
      </c>
      <c r="J313" s="3">
        <v>0.9</v>
      </c>
      <c r="K313" s="3">
        <v>0</v>
      </c>
      <c r="L313" s="3"/>
      <c r="M313" s="3">
        <v>771129.07</v>
      </c>
      <c r="N313" s="3">
        <v>116851.13</v>
      </c>
    </row>
    <row r="314" spans="1:14">
      <c r="A314" s="3" t="s">
        <v>110</v>
      </c>
      <c r="B314" s="4">
        <v>45658</v>
      </c>
      <c r="C314" s="3" t="s">
        <v>32</v>
      </c>
      <c r="D314" s="3" t="s">
        <v>28</v>
      </c>
      <c r="E314" s="3">
        <v>78967.520000000004</v>
      </c>
      <c r="F314" s="3">
        <v>6164</v>
      </c>
      <c r="G314" s="3">
        <v>2.1000000000000001E-2</v>
      </c>
      <c r="H314" s="3">
        <v>16</v>
      </c>
      <c r="I314" s="3">
        <v>85.5</v>
      </c>
      <c r="J314" s="3">
        <v>0.2</v>
      </c>
      <c r="K314" s="3">
        <v>0</v>
      </c>
      <c r="L314" s="3">
        <v>3.4</v>
      </c>
      <c r="M314" s="3">
        <v>702052.47</v>
      </c>
      <c r="N314" s="3">
        <v>121732.51</v>
      </c>
    </row>
    <row r="315" spans="1:14">
      <c r="A315" s="3" t="s">
        <v>110</v>
      </c>
      <c r="B315" s="4">
        <v>45689</v>
      </c>
      <c r="C315" s="3" t="s">
        <v>32</v>
      </c>
      <c r="D315" s="3" t="s">
        <v>28</v>
      </c>
      <c r="E315" s="3">
        <v>46767.99</v>
      </c>
      <c r="F315" s="3">
        <v>7973</v>
      </c>
      <c r="G315" s="3">
        <v>0.183</v>
      </c>
      <c r="H315" s="3">
        <v>18</v>
      </c>
      <c r="I315" s="3">
        <v>94.8</v>
      </c>
      <c r="J315" s="3">
        <v>4.67</v>
      </c>
      <c r="K315" s="3">
        <v>0</v>
      </c>
      <c r="L315" s="3"/>
      <c r="M315" s="3">
        <v>688368.46</v>
      </c>
      <c r="N315" s="3">
        <v>93588.42</v>
      </c>
    </row>
    <row r="316" spans="1:14">
      <c r="A316" s="3" t="s">
        <v>110</v>
      </c>
      <c r="B316" s="4">
        <v>45717</v>
      </c>
      <c r="C316" s="3" t="s">
        <v>32</v>
      </c>
      <c r="D316" s="3" t="s">
        <v>28</v>
      </c>
      <c r="E316" s="3">
        <v>62507.16</v>
      </c>
      <c r="F316" s="3">
        <v>6000</v>
      </c>
      <c r="G316" s="3">
        <v>9.0999999999999998E-2</v>
      </c>
      <c r="H316" s="3">
        <v>14</v>
      </c>
      <c r="I316" s="3">
        <v>98.2</v>
      </c>
      <c r="J316" s="3">
        <v>4.38</v>
      </c>
      <c r="K316" s="3">
        <v>1</v>
      </c>
      <c r="L316" s="3">
        <v>3.9</v>
      </c>
      <c r="M316" s="3">
        <v>712375.77</v>
      </c>
      <c r="N316" s="3">
        <v>104171.53</v>
      </c>
    </row>
    <row r="317" spans="1:14">
      <c r="A317" s="3" t="s">
        <v>110</v>
      </c>
      <c r="B317" s="4">
        <v>45748</v>
      </c>
      <c r="C317" s="3" t="s">
        <v>32</v>
      </c>
      <c r="D317" s="3" t="s">
        <v>28</v>
      </c>
      <c r="E317" s="3">
        <v>66456.28</v>
      </c>
      <c r="F317" s="3">
        <v>9967</v>
      </c>
      <c r="G317" s="3">
        <v>0.108</v>
      </c>
      <c r="H317" s="3">
        <v>20</v>
      </c>
      <c r="I317" s="3">
        <v>94.7</v>
      </c>
      <c r="J317" s="3">
        <v>4.4800000000000004</v>
      </c>
      <c r="K317" s="3">
        <v>0</v>
      </c>
      <c r="L317" s="3">
        <v>4.2</v>
      </c>
      <c r="M317" s="3">
        <v>844710.67</v>
      </c>
      <c r="N317" s="3">
        <v>137140.18</v>
      </c>
    </row>
    <row r="318" spans="1:14">
      <c r="A318" s="3" t="s">
        <v>111</v>
      </c>
      <c r="B318" s="4">
        <v>45658</v>
      </c>
      <c r="C318" s="3" t="s">
        <v>8</v>
      </c>
      <c r="D318" s="3" t="s">
        <v>28</v>
      </c>
      <c r="E318" s="3">
        <v>76614.320000000007</v>
      </c>
      <c r="F318" s="3">
        <v>5639</v>
      </c>
      <c r="G318" s="3">
        <v>0.17399999999999999</v>
      </c>
      <c r="H318" s="3">
        <v>15</v>
      </c>
      <c r="I318" s="3">
        <v>92.9</v>
      </c>
      <c r="J318" s="3">
        <v>1.02</v>
      </c>
      <c r="K318" s="3">
        <v>1</v>
      </c>
      <c r="L318" s="3">
        <v>4</v>
      </c>
      <c r="M318" s="3">
        <v>620264.19999999995</v>
      </c>
      <c r="N318" s="3">
        <v>91365.64</v>
      </c>
    </row>
    <row r="319" spans="1:14">
      <c r="A319" s="3" t="s">
        <v>111</v>
      </c>
      <c r="B319" s="4">
        <v>45689</v>
      </c>
      <c r="C319" s="3" t="s">
        <v>8</v>
      </c>
      <c r="D319" s="3" t="s">
        <v>28</v>
      </c>
      <c r="E319" s="3">
        <v>24088.06</v>
      </c>
      <c r="F319" s="3">
        <v>3466</v>
      </c>
      <c r="G319" s="3">
        <v>0</v>
      </c>
      <c r="H319" s="3">
        <v>11</v>
      </c>
      <c r="I319" s="3">
        <v>88</v>
      </c>
      <c r="J319" s="3">
        <v>0.2</v>
      </c>
      <c r="K319" s="3">
        <v>0</v>
      </c>
      <c r="L319" s="3">
        <v>3.8</v>
      </c>
      <c r="M319" s="3">
        <v>536845.42000000004</v>
      </c>
      <c r="N319" s="3">
        <v>107473.75</v>
      </c>
    </row>
    <row r="320" spans="1:14">
      <c r="A320" s="3" t="s">
        <v>111</v>
      </c>
      <c r="B320" s="4">
        <v>45717</v>
      </c>
      <c r="C320" s="3" t="s">
        <v>8</v>
      </c>
      <c r="D320" s="3" t="s">
        <v>28</v>
      </c>
      <c r="E320" s="3">
        <v>81902.58</v>
      </c>
      <c r="F320" s="3">
        <v>7775</v>
      </c>
      <c r="G320" s="3">
        <v>0.215</v>
      </c>
      <c r="H320" s="3">
        <v>20</v>
      </c>
      <c r="I320" s="3">
        <v>85.2</v>
      </c>
      <c r="J320" s="3">
        <v>4.8899999999999997</v>
      </c>
      <c r="K320" s="3">
        <v>1</v>
      </c>
      <c r="L320" s="3">
        <v>4.2</v>
      </c>
      <c r="M320" s="3">
        <v>726776.22</v>
      </c>
      <c r="N320" s="3">
        <v>90804.49</v>
      </c>
    </row>
    <row r="321" spans="1:14">
      <c r="A321" s="3" t="s">
        <v>111</v>
      </c>
      <c r="B321" s="4">
        <v>45748</v>
      </c>
      <c r="C321" s="3" t="s">
        <v>8</v>
      </c>
      <c r="D321" s="3" t="s">
        <v>28</v>
      </c>
      <c r="E321" s="3">
        <v>40553.11</v>
      </c>
      <c r="F321" s="3">
        <v>5317</v>
      </c>
      <c r="G321" s="3">
        <v>0.16500000000000001</v>
      </c>
      <c r="H321" s="3">
        <v>17</v>
      </c>
      <c r="I321" s="3">
        <v>84.3</v>
      </c>
      <c r="J321" s="3">
        <v>11.82</v>
      </c>
      <c r="K321" s="3">
        <v>0</v>
      </c>
      <c r="L321" s="3">
        <v>4.0999999999999996</v>
      </c>
      <c r="M321" s="3">
        <v>559660.84</v>
      </c>
      <c r="N321" s="3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1"/>
  <sheetViews>
    <sheetView tabSelected="1" topLeftCell="F1" workbookViewId="0">
      <selection activeCell="O11" sqref="O11"/>
    </sheetView>
  </sheetViews>
  <sheetFormatPr defaultRowHeight="14.4"/>
  <cols>
    <col min="1" max="14" width="17.77734375" customWidth="1"/>
    <col min="15" max="15" width="21" bestFit="1" customWidth="1"/>
    <col min="16" max="16" width="12.21875" bestFit="1" customWidth="1"/>
    <col min="17" max="17" width="11.77734375" bestFit="1" customWidth="1"/>
  </cols>
  <sheetData>
    <row r="1" spans="1:16" ht="27.6">
      <c r="A1" s="1" t="s">
        <v>15</v>
      </c>
      <c r="B1" s="1" t="s">
        <v>16</v>
      </c>
      <c r="C1" s="1" t="s">
        <v>0</v>
      </c>
      <c r="D1" s="1" t="s">
        <v>4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 spans="1:16">
      <c r="A2" t="s">
        <v>27</v>
      </c>
      <c r="B2" s="2">
        <v>45658</v>
      </c>
      <c r="C2" t="s">
        <v>8</v>
      </c>
      <c r="D2" t="s">
        <v>28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6">
      <c r="A3" t="s">
        <v>27</v>
      </c>
      <c r="B3" s="2">
        <v>45689</v>
      </c>
      <c r="C3" t="s">
        <v>8</v>
      </c>
      <c r="D3" t="s">
        <v>28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 t="s">
        <v>165</v>
      </c>
      <c r="P3">
        <f>AVERAGE(Original_Data!L2:L321)</f>
        <v>3.9246794871794881</v>
      </c>
    </row>
    <row r="4" spans="1:16">
      <c r="A4" t="s">
        <v>27</v>
      </c>
      <c r="B4" s="2">
        <v>45717</v>
      </c>
      <c r="C4" t="s">
        <v>8</v>
      </c>
      <c r="D4" t="s">
        <v>28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6">
      <c r="A5" t="s">
        <v>27</v>
      </c>
      <c r="B5" s="2">
        <v>45748</v>
      </c>
      <c r="C5" t="s">
        <v>8</v>
      </c>
      <c r="D5" t="s">
        <v>28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6">
      <c r="A6" t="s">
        <v>29</v>
      </c>
      <c r="B6" s="2">
        <v>45658</v>
      </c>
      <c r="C6" t="s">
        <v>8</v>
      </c>
      <c r="D6" t="s">
        <v>30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6">
      <c r="A7" t="s">
        <v>29</v>
      </c>
      <c r="B7" s="2">
        <v>45689</v>
      </c>
      <c r="C7" t="s">
        <v>8</v>
      </c>
      <c r="D7" t="s">
        <v>30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6">
      <c r="A8" t="s">
        <v>29</v>
      </c>
      <c r="B8" s="2">
        <v>45717</v>
      </c>
      <c r="C8" t="s">
        <v>8</v>
      </c>
      <c r="D8" t="s">
        <v>30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6">
      <c r="A9" t="s">
        <v>29</v>
      </c>
      <c r="B9" s="2">
        <v>45748</v>
      </c>
      <c r="C9" t="s">
        <v>8</v>
      </c>
      <c r="D9" t="s">
        <v>30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6">
      <c r="A10" t="s">
        <v>31</v>
      </c>
      <c r="B10" s="2">
        <v>45658</v>
      </c>
      <c r="C10" t="s">
        <v>32</v>
      </c>
      <c r="D10" t="s">
        <v>33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6">
      <c r="A11" t="s">
        <v>31</v>
      </c>
      <c r="B11" s="2">
        <v>45689</v>
      </c>
      <c r="C11" t="s">
        <v>32</v>
      </c>
      <c r="D11" t="s">
        <v>33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6">
      <c r="A12" t="s">
        <v>31</v>
      </c>
      <c r="B12" s="2">
        <v>45717</v>
      </c>
      <c r="C12" t="s">
        <v>32</v>
      </c>
      <c r="D12" t="s">
        <v>33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6">
      <c r="A13" t="s">
        <v>31</v>
      </c>
      <c r="B13" s="2">
        <v>45748</v>
      </c>
      <c r="C13" t="s">
        <v>32</v>
      </c>
      <c r="D13" t="s">
        <v>33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6">
      <c r="A14" t="s">
        <v>34</v>
      </c>
      <c r="B14" s="2">
        <v>45658</v>
      </c>
      <c r="C14" t="s">
        <v>8</v>
      </c>
      <c r="D14" t="s">
        <v>28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6">
      <c r="A15" t="s">
        <v>34</v>
      </c>
      <c r="B15" s="2">
        <v>45689</v>
      </c>
      <c r="C15" t="s">
        <v>8</v>
      </c>
      <c r="D15" t="s">
        <v>28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6">
      <c r="A16" t="s">
        <v>34</v>
      </c>
      <c r="B16" s="2">
        <v>45717</v>
      </c>
      <c r="C16" t="s">
        <v>8</v>
      </c>
      <c r="D16" t="s">
        <v>28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34</v>
      </c>
      <c r="B17" s="2">
        <v>45748</v>
      </c>
      <c r="C17" t="s">
        <v>8</v>
      </c>
      <c r="D17" t="s">
        <v>28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35</v>
      </c>
      <c r="B18" s="2">
        <v>45658</v>
      </c>
      <c r="C18" t="s">
        <v>9</v>
      </c>
      <c r="D18" t="s">
        <v>28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35</v>
      </c>
      <c r="B19" s="2">
        <v>45689</v>
      </c>
      <c r="C19" t="s">
        <v>9</v>
      </c>
      <c r="D19" t="s">
        <v>28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35</v>
      </c>
      <c r="B20" s="2">
        <v>45717</v>
      </c>
      <c r="C20" t="s">
        <v>9</v>
      </c>
      <c r="D20" t="s">
        <v>28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35</v>
      </c>
      <c r="B21" s="2">
        <v>45748</v>
      </c>
      <c r="C21" t="s">
        <v>9</v>
      </c>
      <c r="D21" t="s">
        <v>28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36</v>
      </c>
      <c r="B22" s="2">
        <v>45658</v>
      </c>
      <c r="C22" t="s">
        <v>32</v>
      </c>
      <c r="D22" t="s">
        <v>28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36</v>
      </c>
      <c r="B23" s="2">
        <v>45689</v>
      </c>
      <c r="C23" t="s">
        <v>32</v>
      </c>
      <c r="D23" t="s">
        <v>28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36</v>
      </c>
      <c r="B24" s="2">
        <v>45717</v>
      </c>
      <c r="C24" t="s">
        <v>32</v>
      </c>
      <c r="D24" t="s">
        <v>28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36</v>
      </c>
      <c r="B25" s="2">
        <v>45748</v>
      </c>
      <c r="C25" t="s">
        <v>32</v>
      </c>
      <c r="D25" t="s">
        <v>28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37</v>
      </c>
      <c r="B26" s="2">
        <v>45658</v>
      </c>
      <c r="C26" t="s">
        <v>10</v>
      </c>
      <c r="D26" t="s">
        <v>38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37</v>
      </c>
      <c r="B27" s="2">
        <v>45689</v>
      </c>
      <c r="C27" t="s">
        <v>10</v>
      </c>
      <c r="D27" t="s">
        <v>38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37</v>
      </c>
      <c r="B28" s="2">
        <v>45717</v>
      </c>
      <c r="C28" t="s">
        <v>10</v>
      </c>
      <c r="D28" t="s">
        <v>38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37</v>
      </c>
      <c r="B29" s="2">
        <v>45748</v>
      </c>
      <c r="C29" t="s">
        <v>10</v>
      </c>
      <c r="D29" t="s">
        <v>38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39</v>
      </c>
      <c r="B30" s="2">
        <v>45658</v>
      </c>
      <c r="C30" t="s">
        <v>8</v>
      </c>
      <c r="D30" t="s">
        <v>28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39</v>
      </c>
      <c r="B31" s="2">
        <v>45689</v>
      </c>
      <c r="C31" t="s">
        <v>8</v>
      </c>
      <c r="D31" t="s">
        <v>28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39</v>
      </c>
      <c r="B32" s="2">
        <v>45717</v>
      </c>
      <c r="C32" t="s">
        <v>8</v>
      </c>
      <c r="D32" t="s">
        <v>28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39</v>
      </c>
      <c r="B33" s="2">
        <v>45748</v>
      </c>
      <c r="C33" t="s">
        <v>8</v>
      </c>
      <c r="D33" t="s">
        <v>28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40</v>
      </c>
      <c r="B34" s="2">
        <v>45658</v>
      </c>
      <c r="C34" t="s">
        <v>32</v>
      </c>
      <c r="D34" t="s">
        <v>28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40</v>
      </c>
      <c r="B35" s="2">
        <v>45689</v>
      </c>
      <c r="C35" t="s">
        <v>32</v>
      </c>
      <c r="D35" t="s">
        <v>28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</v>
      </c>
      <c r="M35">
        <v>799477.76000000001</v>
      </c>
      <c r="N35">
        <v>164974.41</v>
      </c>
    </row>
    <row r="36" spans="1:14">
      <c r="A36" t="s">
        <v>40</v>
      </c>
      <c r="B36" s="2">
        <v>45717</v>
      </c>
      <c r="C36" t="s">
        <v>32</v>
      </c>
      <c r="D36" t="s">
        <v>28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40</v>
      </c>
      <c r="B37" s="2">
        <v>45748</v>
      </c>
      <c r="C37" t="s">
        <v>32</v>
      </c>
      <c r="D37" t="s">
        <v>28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41</v>
      </c>
      <c r="B38" s="2">
        <v>45658</v>
      </c>
      <c r="C38" t="s">
        <v>32</v>
      </c>
      <c r="D38" t="s">
        <v>38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41</v>
      </c>
      <c r="B39" s="2">
        <v>45689</v>
      </c>
      <c r="C39" t="s">
        <v>32</v>
      </c>
      <c r="D39" t="s">
        <v>38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41</v>
      </c>
      <c r="B40" s="2">
        <v>45717</v>
      </c>
      <c r="C40" t="s">
        <v>32</v>
      </c>
      <c r="D40" t="s">
        <v>38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41</v>
      </c>
      <c r="B41" s="2">
        <v>45748</v>
      </c>
      <c r="C41" t="s">
        <v>32</v>
      </c>
      <c r="D41" t="s">
        <v>38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42</v>
      </c>
      <c r="B42" s="2">
        <v>45658</v>
      </c>
      <c r="C42" t="s">
        <v>8</v>
      </c>
      <c r="D42" t="s">
        <v>38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42</v>
      </c>
      <c r="B43" s="2">
        <v>45689</v>
      </c>
      <c r="C43" t="s">
        <v>8</v>
      </c>
      <c r="D43" t="s">
        <v>38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42</v>
      </c>
      <c r="B44" s="2">
        <v>45717</v>
      </c>
      <c r="C44" t="s">
        <v>8</v>
      </c>
      <c r="D44" t="s">
        <v>38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42</v>
      </c>
      <c r="B45" s="2">
        <v>45748</v>
      </c>
      <c r="C45" t="s">
        <v>8</v>
      </c>
      <c r="D45" t="s">
        <v>38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43</v>
      </c>
      <c r="B46" s="2">
        <v>45658</v>
      </c>
      <c r="C46" t="s">
        <v>10</v>
      </c>
      <c r="D46" t="s">
        <v>28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43</v>
      </c>
      <c r="B47" s="2">
        <v>45689</v>
      </c>
      <c r="C47" t="s">
        <v>10</v>
      </c>
      <c r="D47" t="s">
        <v>28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43</v>
      </c>
      <c r="B48" s="2">
        <v>45717</v>
      </c>
      <c r="C48" t="s">
        <v>10</v>
      </c>
      <c r="D48" t="s">
        <v>28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43</v>
      </c>
      <c r="B49" s="2">
        <v>45748</v>
      </c>
      <c r="C49" t="s">
        <v>10</v>
      </c>
      <c r="D49" t="s">
        <v>28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44</v>
      </c>
      <c r="B50" s="2">
        <v>45658</v>
      </c>
      <c r="C50" t="s">
        <v>32</v>
      </c>
      <c r="D50" t="s">
        <v>38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44</v>
      </c>
      <c r="B51" s="2">
        <v>45689</v>
      </c>
      <c r="C51" t="s">
        <v>32</v>
      </c>
      <c r="D51" t="s">
        <v>38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44</v>
      </c>
      <c r="B52" s="2">
        <v>45717</v>
      </c>
      <c r="C52" t="s">
        <v>32</v>
      </c>
      <c r="D52" t="s">
        <v>38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44</v>
      </c>
      <c r="B53" s="2">
        <v>45748</v>
      </c>
      <c r="C53" t="s">
        <v>32</v>
      </c>
      <c r="D53" t="s">
        <v>38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45</v>
      </c>
      <c r="B54" s="2">
        <v>45658</v>
      </c>
      <c r="C54" t="s">
        <v>10</v>
      </c>
      <c r="D54" t="s">
        <v>30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45</v>
      </c>
      <c r="B55" s="2">
        <v>45689</v>
      </c>
      <c r="C55" t="s">
        <v>10</v>
      </c>
      <c r="D55" t="s">
        <v>30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45</v>
      </c>
      <c r="B56" s="2">
        <v>45717</v>
      </c>
      <c r="C56" t="s">
        <v>10</v>
      </c>
      <c r="D56" t="s">
        <v>30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45</v>
      </c>
      <c r="B57" s="2">
        <v>45748</v>
      </c>
      <c r="C57" t="s">
        <v>10</v>
      </c>
      <c r="D57" t="s">
        <v>30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46</v>
      </c>
      <c r="B58" s="2">
        <v>45658</v>
      </c>
      <c r="C58" t="s">
        <v>8</v>
      </c>
      <c r="D58" t="s">
        <v>33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46</v>
      </c>
      <c r="B59" s="2">
        <v>45689</v>
      </c>
      <c r="C59" t="s">
        <v>8</v>
      </c>
      <c r="D59" t="s">
        <v>33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46</v>
      </c>
      <c r="B60" s="2">
        <v>45717</v>
      </c>
      <c r="C60" t="s">
        <v>8</v>
      </c>
      <c r="D60" t="s">
        <v>33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46</v>
      </c>
      <c r="B61" s="2">
        <v>45748</v>
      </c>
      <c r="C61" t="s">
        <v>8</v>
      </c>
      <c r="D61" t="s">
        <v>33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47</v>
      </c>
      <c r="B62" s="2">
        <v>45658</v>
      </c>
      <c r="C62" t="s">
        <v>9</v>
      </c>
      <c r="D62" t="s">
        <v>30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47</v>
      </c>
      <c r="B63" s="2">
        <v>45689</v>
      </c>
      <c r="C63" t="s">
        <v>9</v>
      </c>
      <c r="D63" t="s">
        <v>30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47</v>
      </c>
      <c r="B64" s="2">
        <v>45717</v>
      </c>
      <c r="C64" t="s">
        <v>9</v>
      </c>
      <c r="D64" t="s">
        <v>30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47</v>
      </c>
      <c r="B65" s="2">
        <v>45748</v>
      </c>
      <c r="C65" t="s">
        <v>9</v>
      </c>
      <c r="D65" t="s">
        <v>30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48</v>
      </c>
      <c r="B66" s="2">
        <v>45658</v>
      </c>
      <c r="C66" t="s">
        <v>10</v>
      </c>
      <c r="D66" t="s">
        <v>30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48</v>
      </c>
      <c r="B67" s="2">
        <v>45689</v>
      </c>
      <c r="C67" t="s">
        <v>10</v>
      </c>
      <c r="D67" t="s">
        <v>30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48</v>
      </c>
      <c r="B68" s="2">
        <v>45717</v>
      </c>
      <c r="C68" t="s">
        <v>10</v>
      </c>
      <c r="D68" t="s">
        <v>30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48</v>
      </c>
      <c r="B69" s="2">
        <v>45748</v>
      </c>
      <c r="C69" t="s">
        <v>10</v>
      </c>
      <c r="D69" t="s">
        <v>30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49</v>
      </c>
      <c r="B70" s="2">
        <v>45658</v>
      </c>
      <c r="C70" t="s">
        <v>8</v>
      </c>
      <c r="D70" t="s">
        <v>30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49</v>
      </c>
      <c r="B71" s="2">
        <v>45689</v>
      </c>
      <c r="C71" t="s">
        <v>8</v>
      </c>
      <c r="D71" t="s">
        <v>30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49</v>
      </c>
      <c r="B72" s="2">
        <v>45717</v>
      </c>
      <c r="C72" t="s">
        <v>8</v>
      </c>
      <c r="D72" t="s">
        <v>30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49</v>
      </c>
      <c r="B73" s="2">
        <v>45748</v>
      </c>
      <c r="C73" t="s">
        <v>8</v>
      </c>
      <c r="D73" t="s">
        <v>30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50</v>
      </c>
      <c r="B74" s="2">
        <v>45658</v>
      </c>
      <c r="C74" t="s">
        <v>8</v>
      </c>
      <c r="D74" t="s">
        <v>28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50</v>
      </c>
      <c r="B75" s="2">
        <v>45689</v>
      </c>
      <c r="C75" t="s">
        <v>8</v>
      </c>
      <c r="D75" t="s">
        <v>28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50</v>
      </c>
      <c r="B76" s="2">
        <v>45717</v>
      </c>
      <c r="C76" t="s">
        <v>8</v>
      </c>
      <c r="D76" t="s">
        <v>28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50</v>
      </c>
      <c r="B77" s="2">
        <v>45748</v>
      </c>
      <c r="C77" t="s">
        <v>8</v>
      </c>
      <c r="D77" t="s">
        <v>28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51</v>
      </c>
      <c r="B78" s="2">
        <v>45658</v>
      </c>
      <c r="C78" t="s">
        <v>9</v>
      </c>
      <c r="D78" t="s">
        <v>30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51</v>
      </c>
      <c r="B79" s="2">
        <v>45689</v>
      </c>
      <c r="C79" t="s">
        <v>9</v>
      </c>
      <c r="D79" t="s">
        <v>30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51</v>
      </c>
      <c r="B80" s="2">
        <v>45717</v>
      </c>
      <c r="C80" t="s">
        <v>9</v>
      </c>
      <c r="D80" t="s">
        <v>30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51</v>
      </c>
      <c r="B81" s="2">
        <v>45748</v>
      </c>
      <c r="C81" t="s">
        <v>9</v>
      </c>
      <c r="D81" t="s">
        <v>30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52</v>
      </c>
      <c r="B82" s="2">
        <v>45658</v>
      </c>
      <c r="C82" t="s">
        <v>10</v>
      </c>
      <c r="D82" t="s">
        <v>38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52</v>
      </c>
      <c r="B83" s="2">
        <v>45689</v>
      </c>
      <c r="C83" t="s">
        <v>10</v>
      </c>
      <c r="D83" t="s">
        <v>38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52</v>
      </c>
      <c r="B84" s="2">
        <v>45717</v>
      </c>
      <c r="C84" t="s">
        <v>10</v>
      </c>
      <c r="D84" t="s">
        <v>38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52</v>
      </c>
      <c r="B85" s="2">
        <v>45748</v>
      </c>
      <c r="C85" t="s">
        <v>10</v>
      </c>
      <c r="D85" t="s">
        <v>38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53</v>
      </c>
      <c r="B86" s="2">
        <v>45658</v>
      </c>
      <c r="C86" t="s">
        <v>10</v>
      </c>
      <c r="D86" t="s">
        <v>30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53</v>
      </c>
      <c r="B87" s="2">
        <v>45689</v>
      </c>
      <c r="C87" t="s">
        <v>10</v>
      </c>
      <c r="D87" t="s">
        <v>30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</v>
      </c>
      <c r="M87">
        <v>611766.72</v>
      </c>
      <c r="N87">
        <v>88275.61</v>
      </c>
    </row>
    <row r="88" spans="1:14">
      <c r="A88" t="s">
        <v>53</v>
      </c>
      <c r="B88" s="2">
        <v>45717</v>
      </c>
      <c r="C88" t="s">
        <v>10</v>
      </c>
      <c r="D88" t="s">
        <v>30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53</v>
      </c>
      <c r="B89" s="2">
        <v>45748</v>
      </c>
      <c r="C89" t="s">
        <v>10</v>
      </c>
      <c r="D89" t="s">
        <v>30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54</v>
      </c>
      <c r="B90" s="2">
        <v>45658</v>
      </c>
      <c r="C90" t="s">
        <v>9</v>
      </c>
      <c r="D90" t="s">
        <v>38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54</v>
      </c>
      <c r="B91" s="2">
        <v>45689</v>
      </c>
      <c r="C91" t="s">
        <v>9</v>
      </c>
      <c r="D91" t="s">
        <v>38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54</v>
      </c>
      <c r="B92" s="2">
        <v>45717</v>
      </c>
      <c r="C92" t="s">
        <v>9</v>
      </c>
      <c r="D92" t="s">
        <v>38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54</v>
      </c>
      <c r="B93" s="2">
        <v>45748</v>
      </c>
      <c r="C93" t="s">
        <v>9</v>
      </c>
      <c r="D93" t="s">
        <v>38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55</v>
      </c>
      <c r="B94" s="2">
        <v>45658</v>
      </c>
      <c r="C94" t="s">
        <v>10</v>
      </c>
      <c r="D94" t="s">
        <v>28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55</v>
      </c>
      <c r="B95" s="2">
        <v>45689</v>
      </c>
      <c r="C95" t="s">
        <v>10</v>
      </c>
      <c r="D95" t="s">
        <v>28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55</v>
      </c>
      <c r="B96" s="2">
        <v>45717</v>
      </c>
      <c r="C96" t="s">
        <v>10</v>
      </c>
      <c r="D96" t="s">
        <v>28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55</v>
      </c>
      <c r="B97" s="2">
        <v>45748</v>
      </c>
      <c r="C97" t="s">
        <v>10</v>
      </c>
      <c r="D97" t="s">
        <v>28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56</v>
      </c>
      <c r="B98" s="2">
        <v>45658</v>
      </c>
      <c r="C98" t="s">
        <v>10</v>
      </c>
      <c r="D98" t="s">
        <v>38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56</v>
      </c>
      <c r="B99" s="2">
        <v>45689</v>
      </c>
      <c r="C99" t="s">
        <v>10</v>
      </c>
      <c r="D99" t="s">
        <v>38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56</v>
      </c>
      <c r="B100" s="2">
        <v>45717</v>
      </c>
      <c r="C100" t="s">
        <v>10</v>
      </c>
      <c r="D100" t="s">
        <v>38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56</v>
      </c>
      <c r="B101" s="2">
        <v>45748</v>
      </c>
      <c r="C101" t="s">
        <v>10</v>
      </c>
      <c r="D101" t="s">
        <v>38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57</v>
      </c>
      <c r="B102" s="2">
        <v>45658</v>
      </c>
      <c r="C102" t="s">
        <v>8</v>
      </c>
      <c r="D102" t="s">
        <v>38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57</v>
      </c>
      <c r="B103" s="2">
        <v>45689</v>
      </c>
      <c r="C103" t="s">
        <v>8</v>
      </c>
      <c r="D103" t="s">
        <v>38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57</v>
      </c>
      <c r="B104" s="2">
        <v>45717</v>
      </c>
      <c r="C104" t="s">
        <v>8</v>
      </c>
      <c r="D104" t="s">
        <v>38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57</v>
      </c>
      <c r="B105" s="2">
        <v>45748</v>
      </c>
      <c r="C105" t="s">
        <v>8</v>
      </c>
      <c r="D105" t="s">
        <v>38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58</v>
      </c>
      <c r="B106" s="2">
        <v>45658</v>
      </c>
      <c r="C106" t="s">
        <v>10</v>
      </c>
      <c r="D106" t="s">
        <v>30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58</v>
      </c>
      <c r="B107" s="2">
        <v>45689</v>
      </c>
      <c r="C107" t="s">
        <v>10</v>
      </c>
      <c r="D107" t="s">
        <v>30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58</v>
      </c>
      <c r="B108" s="2">
        <v>45717</v>
      </c>
      <c r="C108" t="s">
        <v>10</v>
      </c>
      <c r="D108" t="s">
        <v>30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58</v>
      </c>
      <c r="B109" s="2">
        <v>45748</v>
      </c>
      <c r="C109" t="s">
        <v>10</v>
      </c>
      <c r="D109" t="s">
        <v>30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59</v>
      </c>
      <c r="B110" s="2">
        <v>45658</v>
      </c>
      <c r="C110" t="s">
        <v>8</v>
      </c>
      <c r="D110" t="s">
        <v>38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59</v>
      </c>
      <c r="B111" s="2">
        <v>45689</v>
      </c>
      <c r="C111" t="s">
        <v>8</v>
      </c>
      <c r="D111" t="s">
        <v>38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59</v>
      </c>
      <c r="B112" s="2">
        <v>45717</v>
      </c>
      <c r="C112" t="s">
        <v>8</v>
      </c>
      <c r="D112" t="s">
        <v>38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59</v>
      </c>
      <c r="B113" s="2">
        <v>45748</v>
      </c>
      <c r="C113" t="s">
        <v>8</v>
      </c>
      <c r="D113" t="s">
        <v>38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60</v>
      </c>
      <c r="B114" s="2">
        <v>45658</v>
      </c>
      <c r="C114" t="s">
        <v>10</v>
      </c>
      <c r="D114" t="s">
        <v>38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60</v>
      </c>
      <c r="B115" s="2">
        <v>45689</v>
      </c>
      <c r="C115" t="s">
        <v>10</v>
      </c>
      <c r="D115" t="s">
        <v>38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60</v>
      </c>
      <c r="B116" s="2">
        <v>45717</v>
      </c>
      <c r="C116" t="s">
        <v>10</v>
      </c>
      <c r="D116" t="s">
        <v>38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60</v>
      </c>
      <c r="B117" s="2">
        <v>45748</v>
      </c>
      <c r="C117" t="s">
        <v>10</v>
      </c>
      <c r="D117" t="s">
        <v>38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61</v>
      </c>
      <c r="B118" s="2">
        <v>45658</v>
      </c>
      <c r="C118" t="s">
        <v>10</v>
      </c>
      <c r="D118" t="s">
        <v>28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61</v>
      </c>
      <c r="B119" s="2">
        <v>45689</v>
      </c>
      <c r="C119" t="s">
        <v>10</v>
      </c>
      <c r="D119" t="s">
        <v>28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61</v>
      </c>
      <c r="B120" s="2">
        <v>45717</v>
      </c>
      <c r="C120" t="s">
        <v>10</v>
      </c>
      <c r="D120" t="s">
        <v>28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61</v>
      </c>
      <c r="B121" s="2">
        <v>45748</v>
      </c>
      <c r="C121" t="s">
        <v>10</v>
      </c>
      <c r="D121" t="s">
        <v>28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62</v>
      </c>
      <c r="B122" s="2">
        <v>45658</v>
      </c>
      <c r="C122" t="s">
        <v>32</v>
      </c>
      <c r="D122" t="s">
        <v>30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62</v>
      </c>
      <c r="B123" s="2">
        <v>45689</v>
      </c>
      <c r="C123" t="s">
        <v>32</v>
      </c>
      <c r="D123" t="s">
        <v>30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62</v>
      </c>
      <c r="B124" s="2">
        <v>45717</v>
      </c>
      <c r="C124" t="s">
        <v>32</v>
      </c>
      <c r="D124" t="s">
        <v>30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62</v>
      </c>
      <c r="B125" s="2">
        <v>45748</v>
      </c>
      <c r="C125" t="s">
        <v>32</v>
      </c>
      <c r="D125" t="s">
        <v>30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63</v>
      </c>
      <c r="B126" s="2">
        <v>45658</v>
      </c>
      <c r="C126" t="s">
        <v>9</v>
      </c>
      <c r="D126" t="s">
        <v>30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63</v>
      </c>
      <c r="B127" s="2">
        <v>45689</v>
      </c>
      <c r="C127" t="s">
        <v>9</v>
      </c>
      <c r="D127" t="s">
        <v>30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63</v>
      </c>
      <c r="B128" s="2">
        <v>45717</v>
      </c>
      <c r="C128" t="s">
        <v>9</v>
      </c>
      <c r="D128" t="s">
        <v>30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63</v>
      </c>
      <c r="B129" s="2">
        <v>45748</v>
      </c>
      <c r="C129" t="s">
        <v>9</v>
      </c>
      <c r="D129" t="s">
        <v>30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64</v>
      </c>
      <c r="B130" s="2">
        <v>45658</v>
      </c>
      <c r="C130" t="s">
        <v>8</v>
      </c>
      <c r="D130" t="s">
        <v>30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64</v>
      </c>
      <c r="B131" s="2">
        <v>45689</v>
      </c>
      <c r="C131" t="s">
        <v>8</v>
      </c>
      <c r="D131" t="s">
        <v>30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64</v>
      </c>
      <c r="B132" s="2">
        <v>45717</v>
      </c>
      <c r="C132" t="s">
        <v>8</v>
      </c>
      <c r="D132" t="s">
        <v>30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64</v>
      </c>
      <c r="B133" s="2">
        <v>45748</v>
      </c>
      <c r="C133" t="s">
        <v>8</v>
      </c>
      <c r="D133" t="s">
        <v>30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65</v>
      </c>
      <c r="B134" s="2">
        <v>45658</v>
      </c>
      <c r="C134" t="s">
        <v>32</v>
      </c>
      <c r="D134" t="s">
        <v>30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65</v>
      </c>
      <c r="B135" s="2">
        <v>45689</v>
      </c>
      <c r="C135" t="s">
        <v>32</v>
      </c>
      <c r="D135" t="s">
        <v>30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</v>
      </c>
      <c r="M135">
        <v>400831.65</v>
      </c>
      <c r="N135">
        <v>70979.31</v>
      </c>
    </row>
    <row r="136" spans="1:14">
      <c r="A136" t="s">
        <v>65</v>
      </c>
      <c r="B136" s="2">
        <v>45717</v>
      </c>
      <c r="C136" t="s">
        <v>32</v>
      </c>
      <c r="D136" t="s">
        <v>30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65</v>
      </c>
      <c r="B137" s="2">
        <v>45748</v>
      </c>
      <c r="C137" t="s">
        <v>32</v>
      </c>
      <c r="D137" t="s">
        <v>30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66</v>
      </c>
      <c r="B138" s="2">
        <v>45658</v>
      </c>
      <c r="C138" t="s">
        <v>9</v>
      </c>
      <c r="D138" t="s">
        <v>28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</v>
      </c>
      <c r="M138">
        <v>633638.03</v>
      </c>
      <c r="N138">
        <v>99402.01</v>
      </c>
    </row>
    <row r="139" spans="1:14">
      <c r="A139" t="s">
        <v>66</v>
      </c>
      <c r="B139" s="2">
        <v>45689</v>
      </c>
      <c r="C139" t="s">
        <v>9</v>
      </c>
      <c r="D139" t="s">
        <v>28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66</v>
      </c>
      <c r="B140" s="2">
        <v>45717</v>
      </c>
      <c r="C140" t="s">
        <v>9</v>
      </c>
      <c r="D140" t="s">
        <v>28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66</v>
      </c>
      <c r="B141" s="2">
        <v>45748</v>
      </c>
      <c r="C141" t="s">
        <v>9</v>
      </c>
      <c r="D141" t="s">
        <v>28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67</v>
      </c>
      <c r="B142" s="2">
        <v>45658</v>
      </c>
      <c r="C142" t="s">
        <v>10</v>
      </c>
      <c r="D142" t="s">
        <v>30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67</v>
      </c>
      <c r="B143" s="2">
        <v>45689</v>
      </c>
      <c r="C143" t="s">
        <v>10</v>
      </c>
      <c r="D143" t="s">
        <v>30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67</v>
      </c>
      <c r="B144" s="2">
        <v>45717</v>
      </c>
      <c r="C144" t="s">
        <v>10</v>
      </c>
      <c r="D144" t="s">
        <v>30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67</v>
      </c>
      <c r="B145" s="2">
        <v>45748</v>
      </c>
      <c r="C145" t="s">
        <v>10</v>
      </c>
      <c r="D145" t="s">
        <v>30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68</v>
      </c>
      <c r="B146" s="2">
        <v>45658</v>
      </c>
      <c r="C146" t="s">
        <v>32</v>
      </c>
      <c r="D146" t="s">
        <v>28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68</v>
      </c>
      <c r="B147" s="2">
        <v>45689</v>
      </c>
      <c r="C147" t="s">
        <v>32</v>
      </c>
      <c r="D147" t="s">
        <v>28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68</v>
      </c>
      <c r="B148" s="2">
        <v>45717</v>
      </c>
      <c r="C148" t="s">
        <v>32</v>
      </c>
      <c r="D148" t="s">
        <v>28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68</v>
      </c>
      <c r="B149" s="2">
        <v>45748</v>
      </c>
      <c r="C149" t="s">
        <v>32</v>
      </c>
      <c r="D149" t="s">
        <v>28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69</v>
      </c>
      <c r="B150" s="2">
        <v>45658</v>
      </c>
      <c r="C150" t="s">
        <v>9</v>
      </c>
      <c r="D150" t="s">
        <v>38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69</v>
      </c>
      <c r="B151" s="2">
        <v>45689</v>
      </c>
      <c r="C151" t="s">
        <v>9</v>
      </c>
      <c r="D151" t="s">
        <v>38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69</v>
      </c>
      <c r="B152" s="2">
        <v>45717</v>
      </c>
      <c r="C152" t="s">
        <v>9</v>
      </c>
      <c r="D152" t="s">
        <v>38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69</v>
      </c>
      <c r="B153" s="2">
        <v>45748</v>
      </c>
      <c r="C153" t="s">
        <v>9</v>
      </c>
      <c r="D153" t="s">
        <v>38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70</v>
      </c>
      <c r="B154" s="2">
        <v>45658</v>
      </c>
      <c r="C154" t="s">
        <v>8</v>
      </c>
      <c r="D154" t="s">
        <v>30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70</v>
      </c>
      <c r="B155" s="2">
        <v>45689</v>
      </c>
      <c r="C155" t="s">
        <v>8</v>
      </c>
      <c r="D155" t="s">
        <v>30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70</v>
      </c>
      <c r="B156" s="2">
        <v>45717</v>
      </c>
      <c r="C156" t="s">
        <v>8</v>
      </c>
      <c r="D156" t="s">
        <v>30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70</v>
      </c>
      <c r="B157" s="2">
        <v>45748</v>
      </c>
      <c r="C157" t="s">
        <v>8</v>
      </c>
      <c r="D157" t="s">
        <v>30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71</v>
      </c>
      <c r="B158" s="2">
        <v>45658</v>
      </c>
      <c r="C158" t="s">
        <v>32</v>
      </c>
      <c r="D158" t="s">
        <v>38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71</v>
      </c>
      <c r="B159" s="2">
        <v>45689</v>
      </c>
      <c r="C159" t="s">
        <v>32</v>
      </c>
      <c r="D159" t="s">
        <v>38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71</v>
      </c>
      <c r="B160" s="2">
        <v>45717</v>
      </c>
      <c r="C160" t="s">
        <v>32</v>
      </c>
      <c r="D160" t="s">
        <v>38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71</v>
      </c>
      <c r="B161" s="2">
        <v>45748</v>
      </c>
      <c r="C161" t="s">
        <v>32</v>
      </c>
      <c r="D161" t="s">
        <v>38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72</v>
      </c>
      <c r="B162" s="2">
        <v>45658</v>
      </c>
      <c r="C162" t="s">
        <v>9</v>
      </c>
      <c r="D162" t="s">
        <v>30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72</v>
      </c>
      <c r="B163" s="2">
        <v>45689</v>
      </c>
      <c r="C163" t="s">
        <v>9</v>
      </c>
      <c r="D163" t="s">
        <v>30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72</v>
      </c>
      <c r="B164" s="2">
        <v>45717</v>
      </c>
      <c r="C164" t="s">
        <v>9</v>
      </c>
      <c r="D164" t="s">
        <v>30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72</v>
      </c>
      <c r="B165" s="2">
        <v>45748</v>
      </c>
      <c r="C165" t="s">
        <v>9</v>
      </c>
      <c r="D165" t="s">
        <v>30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73</v>
      </c>
      <c r="B166" s="2">
        <v>45658</v>
      </c>
      <c r="C166" t="s">
        <v>32</v>
      </c>
      <c r="D166" t="s">
        <v>38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73</v>
      </c>
      <c r="B167" s="2">
        <v>45689</v>
      </c>
      <c r="C167" t="s">
        <v>32</v>
      </c>
      <c r="D167" t="s">
        <v>38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73</v>
      </c>
      <c r="B168" s="2">
        <v>45717</v>
      </c>
      <c r="C168" t="s">
        <v>32</v>
      </c>
      <c r="D168" t="s">
        <v>38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73</v>
      </c>
      <c r="B169" s="2">
        <v>45748</v>
      </c>
      <c r="C169" t="s">
        <v>32</v>
      </c>
      <c r="D169" t="s">
        <v>38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74</v>
      </c>
      <c r="B170" s="2">
        <v>45658</v>
      </c>
      <c r="C170" t="s">
        <v>8</v>
      </c>
      <c r="D170" t="s">
        <v>28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74</v>
      </c>
      <c r="B171" s="2">
        <v>45689</v>
      </c>
      <c r="C171" t="s">
        <v>8</v>
      </c>
      <c r="D171" t="s">
        <v>28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74</v>
      </c>
      <c r="B172" s="2">
        <v>45717</v>
      </c>
      <c r="C172" t="s">
        <v>8</v>
      </c>
      <c r="D172" t="s">
        <v>28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74</v>
      </c>
      <c r="B173" s="2">
        <v>45748</v>
      </c>
      <c r="C173" t="s">
        <v>8</v>
      </c>
      <c r="D173" t="s">
        <v>28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75</v>
      </c>
      <c r="B174" s="2">
        <v>45658</v>
      </c>
      <c r="C174" t="s">
        <v>8</v>
      </c>
      <c r="D174" t="s">
        <v>28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75</v>
      </c>
      <c r="B175" s="2">
        <v>45689</v>
      </c>
      <c r="C175" t="s">
        <v>8</v>
      </c>
      <c r="D175" t="s">
        <v>28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75</v>
      </c>
      <c r="B176" s="2">
        <v>45717</v>
      </c>
      <c r="C176" t="s">
        <v>8</v>
      </c>
      <c r="D176" t="s">
        <v>28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75</v>
      </c>
      <c r="B177" s="2">
        <v>45748</v>
      </c>
      <c r="C177" t="s">
        <v>8</v>
      </c>
      <c r="D177" t="s">
        <v>28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76</v>
      </c>
      <c r="B178" s="2">
        <v>45658</v>
      </c>
      <c r="C178" t="s">
        <v>10</v>
      </c>
      <c r="D178" t="s">
        <v>33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76</v>
      </c>
      <c r="B179" s="2">
        <v>45689</v>
      </c>
      <c r="C179" t="s">
        <v>10</v>
      </c>
      <c r="D179" t="s">
        <v>33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76</v>
      </c>
      <c r="B180" s="2">
        <v>45717</v>
      </c>
      <c r="C180" t="s">
        <v>10</v>
      </c>
      <c r="D180" t="s">
        <v>33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76</v>
      </c>
      <c r="B181" s="2">
        <v>45748</v>
      </c>
      <c r="C181" t="s">
        <v>10</v>
      </c>
      <c r="D181" t="s">
        <v>33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77</v>
      </c>
      <c r="B182" s="2">
        <v>45658</v>
      </c>
      <c r="C182" t="s">
        <v>10</v>
      </c>
      <c r="D182" t="s">
        <v>28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77</v>
      </c>
      <c r="B183" s="2">
        <v>45689</v>
      </c>
      <c r="C183" t="s">
        <v>10</v>
      </c>
      <c r="D183" t="s">
        <v>28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77</v>
      </c>
      <c r="B184" s="2">
        <v>45717</v>
      </c>
      <c r="C184" t="s">
        <v>10</v>
      </c>
      <c r="D184" t="s">
        <v>28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77</v>
      </c>
      <c r="B185" s="2">
        <v>45748</v>
      </c>
      <c r="C185" t="s">
        <v>10</v>
      </c>
      <c r="D185" t="s">
        <v>28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78</v>
      </c>
      <c r="B186" s="2">
        <v>45658</v>
      </c>
      <c r="C186" t="s">
        <v>32</v>
      </c>
      <c r="D186" t="s">
        <v>30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78</v>
      </c>
      <c r="B187" s="2">
        <v>45689</v>
      </c>
      <c r="C187" t="s">
        <v>32</v>
      </c>
      <c r="D187" t="s">
        <v>30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78</v>
      </c>
      <c r="B188" s="2">
        <v>45717</v>
      </c>
      <c r="C188" t="s">
        <v>32</v>
      </c>
      <c r="D188" t="s">
        <v>30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78</v>
      </c>
      <c r="B189" s="2">
        <v>45748</v>
      </c>
      <c r="C189" t="s">
        <v>32</v>
      </c>
      <c r="D189" t="s">
        <v>30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79</v>
      </c>
      <c r="B190" s="2">
        <v>45658</v>
      </c>
      <c r="C190" t="s">
        <v>8</v>
      </c>
      <c r="D190" t="s">
        <v>30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79</v>
      </c>
      <c r="B191" s="2">
        <v>45689</v>
      </c>
      <c r="C191" t="s">
        <v>8</v>
      </c>
      <c r="D191" t="s">
        <v>30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79</v>
      </c>
      <c r="B192" s="2">
        <v>45717</v>
      </c>
      <c r="C192" t="s">
        <v>8</v>
      </c>
      <c r="D192" t="s">
        <v>30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79</v>
      </c>
      <c r="B193" s="2">
        <v>45748</v>
      </c>
      <c r="C193" t="s">
        <v>8</v>
      </c>
      <c r="D193" t="s">
        <v>30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80</v>
      </c>
      <c r="B194" s="2">
        <v>45658</v>
      </c>
      <c r="C194" t="s">
        <v>10</v>
      </c>
      <c r="D194" t="s">
        <v>28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80</v>
      </c>
      <c r="B195" s="2">
        <v>45689</v>
      </c>
      <c r="C195" t="s">
        <v>10</v>
      </c>
      <c r="D195" t="s">
        <v>28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80</v>
      </c>
      <c r="B196" s="2">
        <v>45717</v>
      </c>
      <c r="C196" t="s">
        <v>10</v>
      </c>
      <c r="D196" t="s">
        <v>28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80</v>
      </c>
      <c r="B197" s="2">
        <v>45748</v>
      </c>
      <c r="C197" t="s">
        <v>10</v>
      </c>
      <c r="D197" t="s">
        <v>28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</v>
      </c>
      <c r="M197">
        <v>449465.06</v>
      </c>
      <c r="N197">
        <v>65694.78</v>
      </c>
    </row>
    <row r="198" spans="1:14">
      <c r="A198" t="s">
        <v>81</v>
      </c>
      <c r="B198" s="2">
        <v>45658</v>
      </c>
      <c r="C198" t="s">
        <v>32</v>
      </c>
      <c r="D198" t="s">
        <v>28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81</v>
      </c>
      <c r="B199" s="2">
        <v>45689</v>
      </c>
      <c r="C199" t="s">
        <v>32</v>
      </c>
      <c r="D199" t="s">
        <v>28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81</v>
      </c>
      <c r="B200" s="2">
        <v>45717</v>
      </c>
      <c r="C200" t="s">
        <v>32</v>
      </c>
      <c r="D200" t="s">
        <v>28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81</v>
      </c>
      <c r="B201" s="2">
        <v>45748</v>
      </c>
      <c r="C201" t="s">
        <v>32</v>
      </c>
      <c r="D201" t="s">
        <v>28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82</v>
      </c>
      <c r="B202" s="2">
        <v>45658</v>
      </c>
      <c r="C202" t="s">
        <v>8</v>
      </c>
      <c r="D202" t="s">
        <v>33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82</v>
      </c>
      <c r="B203" s="2">
        <v>45689</v>
      </c>
      <c r="C203" t="s">
        <v>8</v>
      </c>
      <c r="D203" t="s">
        <v>33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82</v>
      </c>
      <c r="B204" s="2">
        <v>45717</v>
      </c>
      <c r="C204" t="s">
        <v>8</v>
      </c>
      <c r="D204" t="s">
        <v>33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82</v>
      </c>
      <c r="B205" s="2">
        <v>45748</v>
      </c>
      <c r="C205" t="s">
        <v>8</v>
      </c>
      <c r="D205" t="s">
        <v>33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83</v>
      </c>
      <c r="B206" s="2">
        <v>45658</v>
      </c>
      <c r="C206" t="s">
        <v>8</v>
      </c>
      <c r="D206" t="s">
        <v>38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83</v>
      </c>
      <c r="B207" s="2">
        <v>45689</v>
      </c>
      <c r="C207" t="s">
        <v>8</v>
      </c>
      <c r="D207" t="s">
        <v>38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83</v>
      </c>
      <c r="B208" s="2">
        <v>45717</v>
      </c>
      <c r="C208" t="s">
        <v>8</v>
      </c>
      <c r="D208" t="s">
        <v>38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83</v>
      </c>
      <c r="B209" s="2">
        <v>45748</v>
      </c>
      <c r="C209" t="s">
        <v>8</v>
      </c>
      <c r="D209" t="s">
        <v>38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84</v>
      </c>
      <c r="B210" s="2">
        <v>45658</v>
      </c>
      <c r="C210" t="s">
        <v>8</v>
      </c>
      <c r="D210" t="s">
        <v>30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84</v>
      </c>
      <c r="B211" s="2">
        <v>45689</v>
      </c>
      <c r="C211" t="s">
        <v>8</v>
      </c>
      <c r="D211" t="s">
        <v>30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84</v>
      </c>
      <c r="B212" s="2">
        <v>45717</v>
      </c>
      <c r="C212" t="s">
        <v>8</v>
      </c>
      <c r="D212" t="s">
        <v>30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84</v>
      </c>
      <c r="B213" s="2">
        <v>45748</v>
      </c>
      <c r="C213" t="s">
        <v>8</v>
      </c>
      <c r="D213" t="s">
        <v>30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85</v>
      </c>
      <c r="B214" s="2">
        <v>45658</v>
      </c>
      <c r="C214" t="s">
        <v>10</v>
      </c>
      <c r="D214" t="s">
        <v>28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85</v>
      </c>
      <c r="B215" s="2">
        <v>45689</v>
      </c>
      <c r="C215" t="s">
        <v>10</v>
      </c>
      <c r="D215" t="s">
        <v>28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85</v>
      </c>
      <c r="B216" s="2">
        <v>45717</v>
      </c>
      <c r="C216" t="s">
        <v>10</v>
      </c>
      <c r="D216" t="s">
        <v>28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85</v>
      </c>
      <c r="B217" s="2">
        <v>45748</v>
      </c>
      <c r="C217" t="s">
        <v>10</v>
      </c>
      <c r="D217" t="s">
        <v>28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86</v>
      </c>
      <c r="B218" s="2">
        <v>45658</v>
      </c>
      <c r="C218" t="s">
        <v>32</v>
      </c>
      <c r="D218" t="s">
        <v>33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86</v>
      </c>
      <c r="B219" s="2">
        <v>45689</v>
      </c>
      <c r="C219" t="s">
        <v>32</v>
      </c>
      <c r="D219" t="s">
        <v>33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86</v>
      </c>
      <c r="B220" s="2">
        <v>45717</v>
      </c>
      <c r="C220" t="s">
        <v>32</v>
      </c>
      <c r="D220" t="s">
        <v>33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86</v>
      </c>
      <c r="B221" s="2">
        <v>45748</v>
      </c>
      <c r="C221" t="s">
        <v>32</v>
      </c>
      <c r="D221" t="s">
        <v>33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87</v>
      </c>
      <c r="B222" s="2">
        <v>45658</v>
      </c>
      <c r="C222" t="s">
        <v>8</v>
      </c>
      <c r="D222" t="s">
        <v>30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87</v>
      </c>
      <c r="B223" s="2">
        <v>45689</v>
      </c>
      <c r="C223" t="s">
        <v>8</v>
      </c>
      <c r="D223" t="s">
        <v>30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87</v>
      </c>
      <c r="B224" s="2">
        <v>45717</v>
      </c>
      <c r="C224" t="s">
        <v>8</v>
      </c>
      <c r="D224" t="s">
        <v>30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87</v>
      </c>
      <c r="B225" s="2">
        <v>45748</v>
      </c>
      <c r="C225" t="s">
        <v>8</v>
      </c>
      <c r="D225" t="s">
        <v>30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88</v>
      </c>
      <c r="B226" s="2">
        <v>45658</v>
      </c>
      <c r="C226" t="s">
        <v>8</v>
      </c>
      <c r="D226" t="s">
        <v>38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88</v>
      </c>
      <c r="B227" s="2">
        <v>45689</v>
      </c>
      <c r="C227" t="s">
        <v>8</v>
      </c>
      <c r="D227" t="s">
        <v>38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88</v>
      </c>
      <c r="B228" s="2">
        <v>45717</v>
      </c>
      <c r="C228" t="s">
        <v>8</v>
      </c>
      <c r="D228" t="s">
        <v>38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88</v>
      </c>
      <c r="B229" s="2">
        <v>45748</v>
      </c>
      <c r="C229" t="s">
        <v>8</v>
      </c>
      <c r="D229" t="s">
        <v>38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</v>
      </c>
      <c r="M229">
        <v>529598.93999999994</v>
      </c>
      <c r="N229">
        <v>84334.33</v>
      </c>
    </row>
    <row r="230" spans="1:14">
      <c r="A230" t="s">
        <v>89</v>
      </c>
      <c r="B230" s="2">
        <v>45658</v>
      </c>
      <c r="C230" t="s">
        <v>8</v>
      </c>
      <c r="D230" t="s">
        <v>30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89</v>
      </c>
      <c r="B231" s="2">
        <v>45689</v>
      </c>
      <c r="C231" t="s">
        <v>8</v>
      </c>
      <c r="D231" t="s">
        <v>30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89</v>
      </c>
      <c r="B232" s="2">
        <v>45717</v>
      </c>
      <c r="C232" t="s">
        <v>8</v>
      </c>
      <c r="D232" t="s">
        <v>30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89</v>
      </c>
      <c r="B233" s="2">
        <v>45748</v>
      </c>
      <c r="C233" t="s">
        <v>8</v>
      </c>
      <c r="D233" t="s">
        <v>30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90</v>
      </c>
      <c r="B234" s="2">
        <v>45658</v>
      </c>
      <c r="C234" t="s">
        <v>10</v>
      </c>
      <c r="D234" t="s">
        <v>28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90</v>
      </c>
      <c r="B235" s="2">
        <v>45689</v>
      </c>
      <c r="C235" t="s">
        <v>10</v>
      </c>
      <c r="D235" t="s">
        <v>28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90</v>
      </c>
      <c r="B236" s="2">
        <v>45717</v>
      </c>
      <c r="C236" t="s">
        <v>10</v>
      </c>
      <c r="D236" t="s">
        <v>28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90</v>
      </c>
      <c r="B237" s="2">
        <v>45748</v>
      </c>
      <c r="C237" t="s">
        <v>10</v>
      </c>
      <c r="D237" t="s">
        <v>28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91</v>
      </c>
      <c r="B238" s="2">
        <v>45658</v>
      </c>
      <c r="C238" t="s">
        <v>10</v>
      </c>
      <c r="D238" t="s">
        <v>38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91</v>
      </c>
      <c r="B239" s="2">
        <v>45689</v>
      </c>
      <c r="C239" t="s">
        <v>10</v>
      </c>
      <c r="D239" t="s">
        <v>38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91</v>
      </c>
      <c r="B240" s="2">
        <v>45717</v>
      </c>
      <c r="C240" t="s">
        <v>10</v>
      </c>
      <c r="D240" t="s">
        <v>38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91</v>
      </c>
      <c r="B241" s="2">
        <v>45748</v>
      </c>
      <c r="C241" t="s">
        <v>10</v>
      </c>
      <c r="D241" t="s">
        <v>38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92</v>
      </c>
      <c r="B242" s="2">
        <v>45658</v>
      </c>
      <c r="C242" t="s">
        <v>9</v>
      </c>
      <c r="D242" t="s">
        <v>33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92</v>
      </c>
      <c r="B243" s="2">
        <v>45689</v>
      </c>
      <c r="C243" t="s">
        <v>9</v>
      </c>
      <c r="D243" t="s">
        <v>33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92</v>
      </c>
      <c r="B244" s="2">
        <v>45717</v>
      </c>
      <c r="C244" t="s">
        <v>9</v>
      </c>
      <c r="D244" t="s">
        <v>33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92</v>
      </c>
      <c r="B245" s="2">
        <v>45748</v>
      </c>
      <c r="C245" t="s">
        <v>9</v>
      </c>
      <c r="D245" t="s">
        <v>33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93</v>
      </c>
      <c r="B246" s="2">
        <v>45658</v>
      </c>
      <c r="C246" t="s">
        <v>8</v>
      </c>
      <c r="D246" t="s">
        <v>30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93</v>
      </c>
      <c r="B247" s="2">
        <v>45689</v>
      </c>
      <c r="C247" t="s">
        <v>8</v>
      </c>
      <c r="D247" t="s">
        <v>30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93</v>
      </c>
      <c r="B248" s="2">
        <v>45717</v>
      </c>
      <c r="C248" t="s">
        <v>8</v>
      </c>
      <c r="D248" t="s">
        <v>30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93</v>
      </c>
      <c r="B249" s="2">
        <v>45748</v>
      </c>
      <c r="C249" t="s">
        <v>8</v>
      </c>
      <c r="D249" t="s">
        <v>30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94</v>
      </c>
      <c r="B250" s="2">
        <v>45658</v>
      </c>
      <c r="C250" t="s">
        <v>32</v>
      </c>
      <c r="D250" t="s">
        <v>30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94</v>
      </c>
      <c r="B251" s="2">
        <v>45689</v>
      </c>
      <c r="C251" t="s">
        <v>32</v>
      </c>
      <c r="D251" t="s">
        <v>30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94</v>
      </c>
      <c r="B252" s="2">
        <v>45717</v>
      </c>
      <c r="C252" t="s">
        <v>32</v>
      </c>
      <c r="D252" t="s">
        <v>30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94</v>
      </c>
      <c r="B253" s="2">
        <v>45748</v>
      </c>
      <c r="C253" t="s">
        <v>32</v>
      </c>
      <c r="D253" t="s">
        <v>30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95</v>
      </c>
      <c r="B254" s="2">
        <v>45658</v>
      </c>
      <c r="C254" t="s">
        <v>9</v>
      </c>
      <c r="D254" t="s">
        <v>33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95</v>
      </c>
      <c r="B255" s="2">
        <v>45689</v>
      </c>
      <c r="C255" t="s">
        <v>9</v>
      </c>
      <c r="D255" t="s">
        <v>33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95</v>
      </c>
      <c r="B256" s="2">
        <v>45717</v>
      </c>
      <c r="C256" t="s">
        <v>9</v>
      </c>
      <c r="D256" t="s">
        <v>33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95</v>
      </c>
      <c r="B257" s="2">
        <v>45748</v>
      </c>
      <c r="C257" t="s">
        <v>9</v>
      </c>
      <c r="D257" t="s">
        <v>33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96</v>
      </c>
      <c r="B258" s="2">
        <v>45658</v>
      </c>
      <c r="C258" t="s">
        <v>9</v>
      </c>
      <c r="D258" t="s">
        <v>38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96</v>
      </c>
      <c r="B259" s="2">
        <v>45689</v>
      </c>
      <c r="C259" t="s">
        <v>9</v>
      </c>
      <c r="D259" t="s">
        <v>38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96</v>
      </c>
      <c r="B260" s="2">
        <v>45717</v>
      </c>
      <c r="C260" t="s">
        <v>9</v>
      </c>
      <c r="D260" t="s">
        <v>38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96</v>
      </c>
      <c r="B261" s="2">
        <v>45748</v>
      </c>
      <c r="C261" t="s">
        <v>9</v>
      </c>
      <c r="D261" t="s">
        <v>38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97</v>
      </c>
      <c r="B262" s="2">
        <v>45658</v>
      </c>
      <c r="C262" t="s">
        <v>10</v>
      </c>
      <c r="D262" t="s">
        <v>30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97</v>
      </c>
      <c r="B263" s="2">
        <v>45689</v>
      </c>
      <c r="C263" t="s">
        <v>10</v>
      </c>
      <c r="D263" t="s">
        <v>30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97</v>
      </c>
      <c r="B264" s="2">
        <v>45717</v>
      </c>
      <c r="C264" t="s">
        <v>10</v>
      </c>
      <c r="D264" t="s">
        <v>30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97</v>
      </c>
      <c r="B265" s="2">
        <v>45748</v>
      </c>
      <c r="C265" t="s">
        <v>10</v>
      </c>
      <c r="D265" t="s">
        <v>30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98</v>
      </c>
      <c r="B266" s="2">
        <v>45658</v>
      </c>
      <c r="C266" t="s">
        <v>8</v>
      </c>
      <c r="D266" t="s">
        <v>30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98</v>
      </c>
      <c r="B267" s="2">
        <v>45689</v>
      </c>
      <c r="C267" t="s">
        <v>8</v>
      </c>
      <c r="D267" t="s">
        <v>30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98</v>
      </c>
      <c r="B268" s="2">
        <v>45717</v>
      </c>
      <c r="C268" t="s">
        <v>8</v>
      </c>
      <c r="D268" t="s">
        <v>30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98</v>
      </c>
      <c r="B269" s="2">
        <v>45748</v>
      </c>
      <c r="C269" t="s">
        <v>8</v>
      </c>
      <c r="D269" t="s">
        <v>30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99</v>
      </c>
      <c r="B270" s="2">
        <v>45658</v>
      </c>
      <c r="C270" t="s">
        <v>8</v>
      </c>
      <c r="D270" t="s">
        <v>38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99</v>
      </c>
      <c r="B271" s="2">
        <v>45689</v>
      </c>
      <c r="C271" t="s">
        <v>8</v>
      </c>
      <c r="D271" t="s">
        <v>38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99</v>
      </c>
      <c r="B272" s="2">
        <v>45717</v>
      </c>
      <c r="C272" t="s">
        <v>8</v>
      </c>
      <c r="D272" t="s">
        <v>38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99</v>
      </c>
      <c r="B273" s="2">
        <v>45748</v>
      </c>
      <c r="C273" t="s">
        <v>8</v>
      </c>
      <c r="D273" t="s">
        <v>38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100</v>
      </c>
      <c r="B274" s="2">
        <v>45658</v>
      </c>
      <c r="C274" t="s">
        <v>10</v>
      </c>
      <c r="D274" t="s">
        <v>30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100</v>
      </c>
      <c r="B275" s="2">
        <v>45689</v>
      </c>
      <c r="C275" t="s">
        <v>10</v>
      </c>
      <c r="D275" t="s">
        <v>30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100</v>
      </c>
      <c r="B276" s="2">
        <v>45717</v>
      </c>
      <c r="C276" t="s">
        <v>10</v>
      </c>
      <c r="D276" t="s">
        <v>30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100</v>
      </c>
      <c r="B277" s="2">
        <v>45748</v>
      </c>
      <c r="C277" t="s">
        <v>10</v>
      </c>
      <c r="D277" t="s">
        <v>30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101</v>
      </c>
      <c r="B278" s="2">
        <v>45658</v>
      </c>
      <c r="C278" t="s">
        <v>9</v>
      </c>
      <c r="D278" t="s">
        <v>28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101</v>
      </c>
      <c r="B279" s="2">
        <v>45689</v>
      </c>
      <c r="C279" t="s">
        <v>9</v>
      </c>
      <c r="D279" t="s">
        <v>28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101</v>
      </c>
      <c r="B280" s="2">
        <v>45717</v>
      </c>
      <c r="C280" t="s">
        <v>9</v>
      </c>
      <c r="D280" t="s">
        <v>28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101</v>
      </c>
      <c r="B281" s="2">
        <v>45748</v>
      </c>
      <c r="C281" t="s">
        <v>9</v>
      </c>
      <c r="D281" t="s">
        <v>28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102</v>
      </c>
      <c r="B282" s="2">
        <v>45658</v>
      </c>
      <c r="C282" t="s">
        <v>9</v>
      </c>
      <c r="D282" t="s">
        <v>30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102</v>
      </c>
      <c r="B283" s="2">
        <v>45689</v>
      </c>
      <c r="C283" t="s">
        <v>9</v>
      </c>
      <c r="D283" t="s">
        <v>30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102</v>
      </c>
      <c r="B284" s="2">
        <v>45717</v>
      </c>
      <c r="C284" t="s">
        <v>9</v>
      </c>
      <c r="D284" t="s">
        <v>30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102</v>
      </c>
      <c r="B285" s="2">
        <v>45748</v>
      </c>
      <c r="C285" t="s">
        <v>9</v>
      </c>
      <c r="D285" t="s">
        <v>30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103</v>
      </c>
      <c r="B286" s="2">
        <v>45658</v>
      </c>
      <c r="C286" t="s">
        <v>10</v>
      </c>
      <c r="D286" t="s">
        <v>28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103</v>
      </c>
      <c r="B287" s="2">
        <v>45689</v>
      </c>
      <c r="C287" t="s">
        <v>10</v>
      </c>
      <c r="D287" t="s">
        <v>28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103</v>
      </c>
      <c r="B288" s="2">
        <v>45717</v>
      </c>
      <c r="C288" t="s">
        <v>10</v>
      </c>
      <c r="D288" t="s">
        <v>28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103</v>
      </c>
      <c r="B289" s="2">
        <v>45748</v>
      </c>
      <c r="C289" t="s">
        <v>10</v>
      </c>
      <c r="D289" t="s">
        <v>28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104</v>
      </c>
      <c r="B290" s="2">
        <v>45658</v>
      </c>
      <c r="C290" t="s">
        <v>8</v>
      </c>
      <c r="D290" t="s">
        <v>28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104</v>
      </c>
      <c r="B291" s="2">
        <v>45689</v>
      </c>
      <c r="C291" t="s">
        <v>8</v>
      </c>
      <c r="D291" t="s">
        <v>28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104</v>
      </c>
      <c r="B292" s="2">
        <v>45717</v>
      </c>
      <c r="C292" t="s">
        <v>8</v>
      </c>
      <c r="D292" t="s">
        <v>28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104</v>
      </c>
      <c r="B293" s="2">
        <v>45748</v>
      </c>
      <c r="C293" t="s">
        <v>8</v>
      </c>
      <c r="D293" t="s">
        <v>28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105</v>
      </c>
      <c r="B294" s="2">
        <v>45658</v>
      </c>
      <c r="C294" t="s">
        <v>10</v>
      </c>
      <c r="D294" t="s">
        <v>30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105</v>
      </c>
      <c r="B295" s="2">
        <v>45689</v>
      </c>
      <c r="C295" t="s">
        <v>10</v>
      </c>
      <c r="D295" t="s">
        <v>30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105</v>
      </c>
      <c r="B296" s="2">
        <v>45717</v>
      </c>
      <c r="C296" t="s">
        <v>10</v>
      </c>
      <c r="D296" t="s">
        <v>30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105</v>
      </c>
      <c r="B297" s="2">
        <v>45748</v>
      </c>
      <c r="C297" t="s">
        <v>10</v>
      </c>
      <c r="D297" t="s">
        <v>30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106</v>
      </c>
      <c r="B298" s="2">
        <v>45658</v>
      </c>
      <c r="C298" t="s">
        <v>10</v>
      </c>
      <c r="D298" t="s">
        <v>30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106</v>
      </c>
      <c r="B299" s="2">
        <v>45689</v>
      </c>
      <c r="C299" t="s">
        <v>10</v>
      </c>
      <c r="D299" t="s">
        <v>30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106</v>
      </c>
      <c r="B300" s="2">
        <v>45717</v>
      </c>
      <c r="C300" t="s">
        <v>10</v>
      </c>
      <c r="D300" t="s">
        <v>30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106</v>
      </c>
      <c r="B301" s="2">
        <v>45748</v>
      </c>
      <c r="C301" t="s">
        <v>10</v>
      </c>
      <c r="D301" t="s">
        <v>30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107</v>
      </c>
      <c r="B302" s="2">
        <v>45658</v>
      </c>
      <c r="C302" t="s">
        <v>32</v>
      </c>
      <c r="D302" t="s">
        <v>38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107</v>
      </c>
      <c r="B303" s="2">
        <v>45689</v>
      </c>
      <c r="C303" t="s">
        <v>32</v>
      </c>
      <c r="D303" t="s">
        <v>38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107</v>
      </c>
      <c r="B304" s="2">
        <v>45717</v>
      </c>
      <c r="C304" t="s">
        <v>32</v>
      </c>
      <c r="D304" t="s">
        <v>38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107</v>
      </c>
      <c r="B305" s="2">
        <v>45748</v>
      </c>
      <c r="C305" t="s">
        <v>32</v>
      </c>
      <c r="D305" t="s">
        <v>38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108</v>
      </c>
      <c r="B306" s="2">
        <v>45658</v>
      </c>
      <c r="C306" t="s">
        <v>9</v>
      </c>
      <c r="D306" t="s">
        <v>28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108</v>
      </c>
      <c r="B307" s="2">
        <v>45689</v>
      </c>
      <c r="C307" t="s">
        <v>9</v>
      </c>
      <c r="D307" t="s">
        <v>28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108</v>
      </c>
      <c r="B308" s="2">
        <v>45717</v>
      </c>
      <c r="C308" t="s">
        <v>9</v>
      </c>
      <c r="D308" t="s">
        <v>28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108</v>
      </c>
      <c r="B309" s="2">
        <v>45748</v>
      </c>
      <c r="C309" t="s">
        <v>9</v>
      </c>
      <c r="D309" t="s">
        <v>28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109</v>
      </c>
      <c r="B310" s="2">
        <v>45658</v>
      </c>
      <c r="C310" t="s">
        <v>9</v>
      </c>
      <c r="D310" t="s">
        <v>30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109</v>
      </c>
      <c r="B311" s="2">
        <v>45689</v>
      </c>
      <c r="C311" t="s">
        <v>9</v>
      </c>
      <c r="D311" t="s">
        <v>30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109</v>
      </c>
      <c r="B312" s="2">
        <v>45717</v>
      </c>
      <c r="C312" t="s">
        <v>9</v>
      </c>
      <c r="D312" t="s">
        <v>30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109</v>
      </c>
      <c r="B313" s="2">
        <v>45748</v>
      </c>
      <c r="C313" t="s">
        <v>9</v>
      </c>
      <c r="D313" t="s">
        <v>30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</v>
      </c>
      <c r="M313">
        <v>771129.07</v>
      </c>
      <c r="N313">
        <v>116851.13</v>
      </c>
    </row>
    <row r="314" spans="1:14">
      <c r="A314" t="s">
        <v>110</v>
      </c>
      <c r="B314" s="2">
        <v>45658</v>
      </c>
      <c r="C314" t="s">
        <v>32</v>
      </c>
      <c r="D314" t="s">
        <v>28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110</v>
      </c>
      <c r="B315" s="2">
        <v>45689</v>
      </c>
      <c r="C315" t="s">
        <v>32</v>
      </c>
      <c r="D315" t="s">
        <v>28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</v>
      </c>
      <c r="M315">
        <v>688368.46</v>
      </c>
      <c r="N315">
        <v>93588.42</v>
      </c>
    </row>
    <row r="316" spans="1:14">
      <c r="A316" t="s">
        <v>110</v>
      </c>
      <c r="B316" s="2">
        <v>45717</v>
      </c>
      <c r="C316" t="s">
        <v>32</v>
      </c>
      <c r="D316" t="s">
        <v>28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110</v>
      </c>
      <c r="B317" s="2">
        <v>45748</v>
      </c>
      <c r="C317" t="s">
        <v>32</v>
      </c>
      <c r="D317" t="s">
        <v>28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111</v>
      </c>
      <c r="B318" s="2">
        <v>45658</v>
      </c>
      <c r="C318" t="s">
        <v>8</v>
      </c>
      <c r="D318" t="s">
        <v>28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111</v>
      </c>
      <c r="B319" s="2">
        <v>45689</v>
      </c>
      <c r="C319" t="s">
        <v>8</v>
      </c>
      <c r="D319" t="s">
        <v>28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111</v>
      </c>
      <c r="B320" s="2">
        <v>45717</v>
      </c>
      <c r="C320" t="s">
        <v>8</v>
      </c>
      <c r="D320" t="s">
        <v>28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111</v>
      </c>
      <c r="B321" s="2">
        <v>45748</v>
      </c>
      <c r="C321" t="s">
        <v>8</v>
      </c>
      <c r="D321" t="s">
        <v>28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autoFilter ref="A1:N32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9D9C-68FD-4321-BA39-6970FA759C8B}">
  <dimension ref="A1:H321"/>
  <sheetViews>
    <sheetView workbookViewId="0">
      <selection activeCell="G15" sqref="G15"/>
    </sheetView>
  </sheetViews>
  <sheetFormatPr defaultRowHeight="14.4"/>
  <cols>
    <col min="1" max="4" width="17.77734375" customWidth="1"/>
    <col min="5" max="5" width="13.109375" customWidth="1"/>
    <col min="6" max="6" width="14.88671875" customWidth="1"/>
    <col min="7" max="7" width="14.21875" customWidth="1"/>
    <col min="8" max="8" width="17.77734375" customWidth="1"/>
  </cols>
  <sheetData>
    <row r="1" spans="1:8" ht="27.6">
      <c r="A1" s="1" t="s">
        <v>17</v>
      </c>
      <c r="B1" s="1" t="s">
        <v>18</v>
      </c>
      <c r="C1" s="1" t="s">
        <v>21</v>
      </c>
      <c r="D1" s="1" t="s">
        <v>24</v>
      </c>
      <c r="E1" s="1" t="s">
        <v>1</v>
      </c>
      <c r="F1" s="1" t="s">
        <v>2</v>
      </c>
      <c r="G1" s="1" t="s">
        <v>3</v>
      </c>
      <c r="H1" s="1" t="s">
        <v>25</v>
      </c>
    </row>
    <row r="2" spans="1:8">
      <c r="A2">
        <v>70389.11</v>
      </c>
      <c r="B2">
        <v>8302</v>
      </c>
      <c r="C2">
        <v>75</v>
      </c>
      <c r="D2">
        <v>3.1</v>
      </c>
      <c r="E2">
        <v>1</v>
      </c>
      <c r="F2">
        <v>0</v>
      </c>
      <c r="G2">
        <v>0</v>
      </c>
      <c r="H2">
        <v>658832.62</v>
      </c>
    </row>
    <row r="3" spans="1:8">
      <c r="A3">
        <v>43827.89</v>
      </c>
      <c r="B3">
        <v>8487</v>
      </c>
      <c r="C3">
        <v>84.4</v>
      </c>
      <c r="D3">
        <v>2.8</v>
      </c>
      <c r="E3">
        <v>1</v>
      </c>
      <c r="F3">
        <v>0</v>
      </c>
      <c r="G3">
        <v>0</v>
      </c>
      <c r="H3">
        <v>634436</v>
      </c>
    </row>
    <row r="4" spans="1:8">
      <c r="A4">
        <v>59921.75</v>
      </c>
      <c r="B4">
        <v>9113</v>
      </c>
      <c r="C4">
        <v>88</v>
      </c>
      <c r="D4">
        <v>3.2</v>
      </c>
      <c r="E4">
        <v>1</v>
      </c>
      <c r="F4">
        <v>0</v>
      </c>
      <c r="G4">
        <v>0</v>
      </c>
      <c r="H4">
        <v>678722.06</v>
      </c>
    </row>
    <row r="5" spans="1:8">
      <c r="A5">
        <v>56856.63</v>
      </c>
      <c r="B5">
        <v>9431</v>
      </c>
      <c r="C5">
        <v>86.9</v>
      </c>
      <c r="D5">
        <v>3.4</v>
      </c>
      <c r="E5">
        <v>1</v>
      </c>
      <c r="F5">
        <v>0</v>
      </c>
      <c r="G5">
        <v>0</v>
      </c>
      <c r="H5">
        <v>658920.30000000005</v>
      </c>
    </row>
    <row r="6" spans="1:8">
      <c r="A6">
        <v>48412.639999999999</v>
      </c>
      <c r="B6">
        <v>9545</v>
      </c>
      <c r="C6">
        <v>97.6</v>
      </c>
      <c r="D6">
        <v>4.2</v>
      </c>
      <c r="E6">
        <v>1</v>
      </c>
      <c r="F6">
        <v>0</v>
      </c>
      <c r="G6">
        <v>0</v>
      </c>
      <c r="H6">
        <v>741341.44</v>
      </c>
    </row>
    <row r="7" spans="1:8">
      <c r="A7">
        <v>64811.21</v>
      </c>
      <c r="B7">
        <v>9792</v>
      </c>
      <c r="C7">
        <v>84.2</v>
      </c>
      <c r="D7">
        <v>4.2</v>
      </c>
      <c r="E7">
        <v>1</v>
      </c>
      <c r="F7">
        <v>0</v>
      </c>
      <c r="G7">
        <v>0</v>
      </c>
      <c r="H7">
        <v>761835.34</v>
      </c>
    </row>
    <row r="8" spans="1:8">
      <c r="A8">
        <v>46213.45</v>
      </c>
      <c r="B8">
        <v>10616</v>
      </c>
      <c r="C8">
        <v>85.2</v>
      </c>
      <c r="D8">
        <v>4.0999999999999996</v>
      </c>
      <c r="E8">
        <v>1</v>
      </c>
      <c r="F8">
        <v>0</v>
      </c>
      <c r="G8">
        <v>0</v>
      </c>
      <c r="H8">
        <v>806615.54</v>
      </c>
    </row>
    <row r="9" spans="1:8">
      <c r="A9">
        <v>68148.52</v>
      </c>
      <c r="B9">
        <v>8567</v>
      </c>
      <c r="C9">
        <v>95.6</v>
      </c>
      <c r="D9">
        <v>3.9</v>
      </c>
      <c r="E9">
        <v>1</v>
      </c>
      <c r="F9">
        <v>0</v>
      </c>
      <c r="G9">
        <v>0</v>
      </c>
      <c r="H9">
        <v>850164.26</v>
      </c>
    </row>
    <row r="10" spans="1:8">
      <c r="A10">
        <v>71838.86</v>
      </c>
      <c r="B10">
        <v>10979</v>
      </c>
      <c r="C10">
        <v>88.6</v>
      </c>
      <c r="D10">
        <v>3.8</v>
      </c>
      <c r="E10">
        <v>0</v>
      </c>
      <c r="F10">
        <v>0</v>
      </c>
      <c r="G10">
        <v>0</v>
      </c>
      <c r="H10">
        <v>930581.7</v>
      </c>
    </row>
    <row r="11" spans="1:8">
      <c r="A11">
        <v>68133.440000000002</v>
      </c>
      <c r="B11">
        <v>9459</v>
      </c>
      <c r="C11">
        <v>85</v>
      </c>
      <c r="D11">
        <v>4.2</v>
      </c>
      <c r="E11">
        <v>0</v>
      </c>
      <c r="F11">
        <v>0</v>
      </c>
      <c r="G11">
        <v>0</v>
      </c>
      <c r="H11">
        <v>779010.94</v>
      </c>
    </row>
    <row r="12" spans="1:8">
      <c r="A12">
        <v>34285.21</v>
      </c>
      <c r="B12">
        <v>9172</v>
      </c>
      <c r="C12">
        <v>88.3</v>
      </c>
      <c r="D12">
        <v>3.8</v>
      </c>
      <c r="E12">
        <v>0</v>
      </c>
      <c r="F12">
        <v>0</v>
      </c>
      <c r="G12">
        <v>0</v>
      </c>
      <c r="H12">
        <v>723060.76</v>
      </c>
    </row>
    <row r="13" spans="1:8">
      <c r="A13">
        <v>67979.88</v>
      </c>
      <c r="B13">
        <v>11230</v>
      </c>
      <c r="C13">
        <v>85.3</v>
      </c>
      <c r="D13">
        <v>3.8</v>
      </c>
      <c r="E13">
        <v>0</v>
      </c>
      <c r="F13">
        <v>0</v>
      </c>
      <c r="G13">
        <v>0</v>
      </c>
      <c r="H13">
        <v>910791.94</v>
      </c>
    </row>
    <row r="14" spans="1:8">
      <c r="A14">
        <v>71828.259999999995</v>
      </c>
      <c r="B14">
        <v>12775</v>
      </c>
      <c r="C14">
        <v>81.7</v>
      </c>
      <c r="D14">
        <v>4.2</v>
      </c>
      <c r="E14">
        <v>1</v>
      </c>
      <c r="F14">
        <v>0</v>
      </c>
      <c r="G14">
        <v>0</v>
      </c>
      <c r="H14">
        <v>922168.6</v>
      </c>
    </row>
    <row r="15" spans="1:8">
      <c r="A15">
        <v>55716.82</v>
      </c>
      <c r="B15">
        <v>10054</v>
      </c>
      <c r="C15">
        <v>84.9</v>
      </c>
      <c r="D15">
        <v>4.3</v>
      </c>
      <c r="E15">
        <v>1</v>
      </c>
      <c r="F15">
        <v>0</v>
      </c>
      <c r="G15">
        <v>0</v>
      </c>
      <c r="H15">
        <v>726606.28</v>
      </c>
    </row>
    <row r="16" spans="1:8">
      <c r="A16">
        <v>59909.51</v>
      </c>
      <c r="B16">
        <v>8895</v>
      </c>
      <c r="C16">
        <v>88.8</v>
      </c>
      <c r="D16">
        <v>4.3</v>
      </c>
      <c r="E16">
        <v>1</v>
      </c>
      <c r="F16">
        <v>0</v>
      </c>
      <c r="G16">
        <v>0</v>
      </c>
      <c r="H16">
        <v>746501.09</v>
      </c>
    </row>
    <row r="17" spans="1:8">
      <c r="A17">
        <v>75305.710000000006</v>
      </c>
      <c r="B17">
        <v>10940</v>
      </c>
      <c r="C17">
        <v>76.5</v>
      </c>
      <c r="D17">
        <v>4.5</v>
      </c>
      <c r="E17">
        <v>1</v>
      </c>
      <c r="F17">
        <v>0</v>
      </c>
      <c r="G17">
        <v>0</v>
      </c>
      <c r="H17">
        <v>834017.02</v>
      </c>
    </row>
    <row r="18" spans="1:8">
      <c r="A18">
        <v>48804.22</v>
      </c>
      <c r="B18">
        <v>7057</v>
      </c>
      <c r="C18">
        <v>87.7</v>
      </c>
      <c r="D18">
        <v>3.7</v>
      </c>
      <c r="E18">
        <v>0</v>
      </c>
      <c r="F18">
        <v>1</v>
      </c>
      <c r="G18">
        <v>0</v>
      </c>
      <c r="H18">
        <v>666152.52</v>
      </c>
    </row>
    <row r="19" spans="1:8">
      <c r="A19">
        <v>59117.9</v>
      </c>
      <c r="B19">
        <v>4263</v>
      </c>
      <c r="C19">
        <v>87.6</v>
      </c>
      <c r="D19">
        <v>3.6</v>
      </c>
      <c r="E19">
        <v>0</v>
      </c>
      <c r="F19">
        <v>1</v>
      </c>
      <c r="G19">
        <v>0</v>
      </c>
      <c r="H19">
        <v>573155.18999999994</v>
      </c>
    </row>
    <row r="20" spans="1:8">
      <c r="A20">
        <v>78831.12</v>
      </c>
      <c r="B20">
        <v>5538</v>
      </c>
      <c r="C20">
        <v>94.1</v>
      </c>
      <c r="D20">
        <v>3.9</v>
      </c>
      <c r="E20">
        <v>0</v>
      </c>
      <c r="F20">
        <v>1</v>
      </c>
      <c r="G20">
        <v>0</v>
      </c>
      <c r="H20">
        <v>666573.19999999995</v>
      </c>
    </row>
    <row r="21" spans="1:8">
      <c r="A21">
        <v>41441.93</v>
      </c>
      <c r="B21">
        <v>4865</v>
      </c>
      <c r="C21">
        <v>88.3</v>
      </c>
      <c r="D21">
        <v>4</v>
      </c>
      <c r="E21">
        <v>0</v>
      </c>
      <c r="F21">
        <v>1</v>
      </c>
      <c r="G21">
        <v>0</v>
      </c>
      <c r="H21">
        <v>591619.94999999995</v>
      </c>
    </row>
    <row r="22" spans="1:8">
      <c r="A22">
        <v>30356.28</v>
      </c>
      <c r="B22">
        <v>2822</v>
      </c>
      <c r="C22">
        <v>84.8</v>
      </c>
      <c r="D22">
        <v>5</v>
      </c>
      <c r="E22">
        <v>0</v>
      </c>
      <c r="F22">
        <v>0</v>
      </c>
      <c r="G22">
        <v>0</v>
      </c>
      <c r="H22">
        <v>415721.82</v>
      </c>
    </row>
    <row r="23" spans="1:8">
      <c r="A23">
        <v>33518.879999999997</v>
      </c>
      <c r="B23">
        <v>2121</v>
      </c>
      <c r="C23">
        <v>88.5</v>
      </c>
      <c r="D23">
        <v>5</v>
      </c>
      <c r="E23">
        <v>0</v>
      </c>
      <c r="F23">
        <v>0</v>
      </c>
      <c r="G23">
        <v>0</v>
      </c>
      <c r="H23">
        <v>491905.13</v>
      </c>
    </row>
    <row r="24" spans="1:8">
      <c r="A24">
        <v>42267.37</v>
      </c>
      <c r="B24">
        <v>3364</v>
      </c>
      <c r="C24">
        <v>82</v>
      </c>
      <c r="D24">
        <v>4.5999999999999996</v>
      </c>
      <c r="E24">
        <v>0</v>
      </c>
      <c r="F24">
        <v>0</v>
      </c>
      <c r="G24">
        <v>0</v>
      </c>
      <c r="H24">
        <v>555929.4</v>
      </c>
    </row>
    <row r="25" spans="1:8">
      <c r="A25">
        <v>62060.43</v>
      </c>
      <c r="B25">
        <v>2613</v>
      </c>
      <c r="C25">
        <v>92.1</v>
      </c>
      <c r="D25">
        <v>4.7</v>
      </c>
      <c r="E25">
        <v>0</v>
      </c>
      <c r="F25">
        <v>0</v>
      </c>
      <c r="G25">
        <v>0</v>
      </c>
      <c r="H25">
        <v>565810.99</v>
      </c>
    </row>
    <row r="26" spans="1:8">
      <c r="A26">
        <v>57696.69</v>
      </c>
      <c r="B26">
        <v>10218</v>
      </c>
      <c r="C26">
        <v>94.8</v>
      </c>
      <c r="D26">
        <v>3.5</v>
      </c>
      <c r="E26">
        <v>0</v>
      </c>
      <c r="F26">
        <v>0</v>
      </c>
      <c r="G26">
        <v>1</v>
      </c>
      <c r="H26">
        <v>811771.14</v>
      </c>
    </row>
    <row r="27" spans="1:8">
      <c r="A27">
        <v>172415.52</v>
      </c>
      <c r="B27">
        <v>8927</v>
      </c>
      <c r="C27">
        <v>86.2</v>
      </c>
      <c r="D27">
        <v>3.9</v>
      </c>
      <c r="E27">
        <v>0</v>
      </c>
      <c r="F27">
        <v>0</v>
      </c>
      <c r="G27">
        <v>1</v>
      </c>
      <c r="H27">
        <v>800451.94</v>
      </c>
    </row>
    <row r="28" spans="1:8">
      <c r="A28">
        <v>55270.52</v>
      </c>
      <c r="B28">
        <v>9315</v>
      </c>
      <c r="C28">
        <v>91.9</v>
      </c>
      <c r="D28">
        <v>4</v>
      </c>
      <c r="E28">
        <v>0</v>
      </c>
      <c r="F28">
        <v>0</v>
      </c>
      <c r="G28">
        <v>1</v>
      </c>
      <c r="H28">
        <v>783672.82</v>
      </c>
    </row>
    <row r="29" spans="1:8">
      <c r="A29">
        <v>52715.1</v>
      </c>
      <c r="B29">
        <v>7223</v>
      </c>
      <c r="C29">
        <v>84.2</v>
      </c>
      <c r="D29">
        <v>3.7</v>
      </c>
      <c r="E29">
        <v>0</v>
      </c>
      <c r="F29">
        <v>0</v>
      </c>
      <c r="G29">
        <v>1</v>
      </c>
      <c r="H29">
        <v>701641.97</v>
      </c>
    </row>
    <row r="30" spans="1:8">
      <c r="A30">
        <v>68600.62</v>
      </c>
      <c r="B30">
        <v>3988</v>
      </c>
      <c r="C30">
        <v>85</v>
      </c>
      <c r="D30">
        <v>3.6</v>
      </c>
      <c r="E30">
        <v>1</v>
      </c>
      <c r="F30">
        <v>0</v>
      </c>
      <c r="G30">
        <v>0</v>
      </c>
      <c r="H30">
        <v>511844.41</v>
      </c>
    </row>
    <row r="31" spans="1:8">
      <c r="A31">
        <v>63176.73</v>
      </c>
      <c r="B31">
        <v>2390</v>
      </c>
      <c r="C31">
        <v>87.5</v>
      </c>
      <c r="D31">
        <v>3.1</v>
      </c>
      <c r="E31">
        <v>1</v>
      </c>
      <c r="F31">
        <v>0</v>
      </c>
      <c r="G31">
        <v>0</v>
      </c>
      <c r="H31">
        <v>537383.79</v>
      </c>
    </row>
    <row r="32" spans="1:8">
      <c r="A32">
        <v>44970.080000000002</v>
      </c>
      <c r="B32">
        <v>2471</v>
      </c>
      <c r="C32">
        <v>87.6</v>
      </c>
      <c r="D32">
        <v>3.7</v>
      </c>
      <c r="E32">
        <v>1</v>
      </c>
      <c r="F32">
        <v>0</v>
      </c>
      <c r="G32">
        <v>0</v>
      </c>
      <c r="H32">
        <v>500173.02</v>
      </c>
    </row>
    <row r="33" spans="1:8">
      <c r="A33">
        <v>69816.350000000006</v>
      </c>
      <c r="B33">
        <v>971</v>
      </c>
      <c r="C33">
        <v>89.9</v>
      </c>
      <c r="D33">
        <v>3.6</v>
      </c>
      <c r="E33">
        <v>1</v>
      </c>
      <c r="F33">
        <v>0</v>
      </c>
      <c r="G33">
        <v>0</v>
      </c>
      <c r="H33">
        <v>427917.38</v>
      </c>
    </row>
    <row r="34" spans="1:8">
      <c r="A34">
        <v>54597.83</v>
      </c>
      <c r="B34">
        <v>9429</v>
      </c>
      <c r="C34">
        <v>83.3</v>
      </c>
      <c r="D34">
        <v>4.2</v>
      </c>
      <c r="E34">
        <v>0</v>
      </c>
      <c r="F34">
        <v>0</v>
      </c>
      <c r="G34">
        <v>0</v>
      </c>
      <c r="H34">
        <v>641865.03</v>
      </c>
    </row>
    <row r="35" spans="1:8">
      <c r="A35">
        <v>73771.91</v>
      </c>
      <c r="B35">
        <v>11695</v>
      </c>
      <c r="C35">
        <v>84.7</v>
      </c>
      <c r="D35">
        <v>3.9</v>
      </c>
      <c r="E35">
        <v>0</v>
      </c>
      <c r="F35">
        <v>0</v>
      </c>
      <c r="G35">
        <v>0</v>
      </c>
      <c r="H35">
        <v>799477.76000000001</v>
      </c>
    </row>
    <row r="36" spans="1:8">
      <c r="A36">
        <v>74413.88</v>
      </c>
      <c r="B36">
        <v>9449</v>
      </c>
      <c r="C36">
        <v>92.1</v>
      </c>
      <c r="D36">
        <v>3.5</v>
      </c>
      <c r="E36">
        <v>0</v>
      </c>
      <c r="F36">
        <v>0</v>
      </c>
      <c r="G36">
        <v>0</v>
      </c>
      <c r="H36">
        <v>798952.17</v>
      </c>
    </row>
    <row r="37" spans="1:8">
      <c r="A37">
        <v>52483.77</v>
      </c>
      <c r="B37">
        <v>10453</v>
      </c>
      <c r="C37">
        <v>99</v>
      </c>
      <c r="D37">
        <v>3.6</v>
      </c>
      <c r="E37">
        <v>0</v>
      </c>
      <c r="F37">
        <v>0</v>
      </c>
      <c r="G37">
        <v>0</v>
      </c>
      <c r="H37">
        <v>800979.78</v>
      </c>
    </row>
    <row r="38" spans="1:8">
      <c r="A38">
        <v>75269.87</v>
      </c>
      <c r="B38">
        <v>8838</v>
      </c>
      <c r="C38">
        <v>83.1</v>
      </c>
      <c r="D38">
        <v>4.2</v>
      </c>
      <c r="E38">
        <v>0</v>
      </c>
      <c r="F38">
        <v>0</v>
      </c>
      <c r="G38">
        <v>0</v>
      </c>
      <c r="H38">
        <v>820593.93</v>
      </c>
    </row>
    <row r="39" spans="1:8">
      <c r="A39">
        <v>61245.41</v>
      </c>
      <c r="B39">
        <v>8156</v>
      </c>
      <c r="C39">
        <v>92.9</v>
      </c>
      <c r="D39">
        <v>3.8</v>
      </c>
      <c r="E39">
        <v>0</v>
      </c>
      <c r="F39">
        <v>0</v>
      </c>
      <c r="G39">
        <v>0</v>
      </c>
      <c r="H39">
        <v>718330.53</v>
      </c>
    </row>
    <row r="40" spans="1:8">
      <c r="A40">
        <v>93381.26</v>
      </c>
      <c r="B40">
        <v>7562</v>
      </c>
      <c r="C40">
        <v>82.9</v>
      </c>
      <c r="D40">
        <v>4</v>
      </c>
      <c r="E40">
        <v>0</v>
      </c>
      <c r="F40">
        <v>0</v>
      </c>
      <c r="G40">
        <v>0</v>
      </c>
      <c r="H40">
        <v>736633.4</v>
      </c>
    </row>
    <row r="41" spans="1:8">
      <c r="A41">
        <v>65012.19</v>
      </c>
      <c r="B41">
        <v>9598</v>
      </c>
      <c r="C41">
        <v>98.3</v>
      </c>
      <c r="D41">
        <v>3.8</v>
      </c>
      <c r="E41">
        <v>0</v>
      </c>
      <c r="F41">
        <v>0</v>
      </c>
      <c r="G41">
        <v>0</v>
      </c>
      <c r="H41">
        <v>828623.85</v>
      </c>
    </row>
    <row r="42" spans="1:8">
      <c r="A42">
        <v>40462.94</v>
      </c>
      <c r="B42">
        <v>3660</v>
      </c>
      <c r="C42">
        <v>95.2</v>
      </c>
      <c r="D42">
        <v>4.4000000000000004</v>
      </c>
      <c r="E42">
        <v>1</v>
      </c>
      <c r="F42">
        <v>0</v>
      </c>
      <c r="G42">
        <v>0</v>
      </c>
      <c r="H42">
        <v>592195.85</v>
      </c>
    </row>
    <row r="43" spans="1:8">
      <c r="A43">
        <v>46123.88</v>
      </c>
      <c r="B43">
        <v>3227</v>
      </c>
      <c r="C43">
        <v>75.400000000000006</v>
      </c>
      <c r="D43">
        <v>4.4000000000000004</v>
      </c>
      <c r="E43">
        <v>1</v>
      </c>
      <c r="F43">
        <v>0</v>
      </c>
      <c r="G43">
        <v>0</v>
      </c>
      <c r="H43">
        <v>532644.46</v>
      </c>
    </row>
    <row r="44" spans="1:8">
      <c r="A44">
        <v>68077.539999999994</v>
      </c>
      <c r="B44">
        <v>3360</v>
      </c>
      <c r="C44">
        <v>88.2</v>
      </c>
      <c r="D44">
        <v>4</v>
      </c>
      <c r="E44">
        <v>1</v>
      </c>
      <c r="F44">
        <v>0</v>
      </c>
      <c r="G44">
        <v>0</v>
      </c>
      <c r="H44">
        <v>657429.18000000005</v>
      </c>
    </row>
    <row r="45" spans="1:8">
      <c r="A45">
        <v>64882.14</v>
      </c>
      <c r="B45">
        <v>3642</v>
      </c>
      <c r="C45">
        <v>87.8</v>
      </c>
      <c r="D45">
        <v>4.2</v>
      </c>
      <c r="E45">
        <v>1</v>
      </c>
      <c r="F45">
        <v>0</v>
      </c>
      <c r="G45">
        <v>0</v>
      </c>
      <c r="H45">
        <v>605178</v>
      </c>
    </row>
    <row r="46" spans="1:8">
      <c r="A46">
        <v>138855.51</v>
      </c>
      <c r="B46">
        <v>5145</v>
      </c>
      <c r="C46">
        <v>88.2</v>
      </c>
      <c r="D46">
        <v>3.2</v>
      </c>
      <c r="E46">
        <v>0</v>
      </c>
      <c r="F46">
        <v>0</v>
      </c>
      <c r="G46">
        <v>1</v>
      </c>
      <c r="H46">
        <v>595467.6</v>
      </c>
    </row>
    <row r="47" spans="1:8">
      <c r="A47">
        <v>63630.21</v>
      </c>
      <c r="B47">
        <v>4460</v>
      </c>
      <c r="C47">
        <v>98.6</v>
      </c>
      <c r="D47">
        <v>3.5</v>
      </c>
      <c r="E47">
        <v>0</v>
      </c>
      <c r="F47">
        <v>0</v>
      </c>
      <c r="G47">
        <v>1</v>
      </c>
      <c r="H47">
        <v>599603.4</v>
      </c>
    </row>
    <row r="48" spans="1:8">
      <c r="A48">
        <v>50043.65</v>
      </c>
      <c r="B48">
        <v>3804</v>
      </c>
      <c r="C48">
        <v>90.9</v>
      </c>
      <c r="D48">
        <v>3.2</v>
      </c>
      <c r="E48">
        <v>0</v>
      </c>
      <c r="F48">
        <v>0</v>
      </c>
      <c r="G48">
        <v>1</v>
      </c>
      <c r="H48">
        <v>614800.09</v>
      </c>
    </row>
    <row r="49" spans="1:8">
      <c r="A49">
        <v>42093.84</v>
      </c>
      <c r="B49">
        <v>4074</v>
      </c>
      <c r="C49">
        <v>88</v>
      </c>
      <c r="D49">
        <v>3.3</v>
      </c>
      <c r="E49">
        <v>0</v>
      </c>
      <c r="F49">
        <v>0</v>
      </c>
      <c r="G49">
        <v>1</v>
      </c>
      <c r="H49">
        <v>585365.73</v>
      </c>
    </row>
    <row r="50" spans="1:8">
      <c r="A50">
        <v>46624.05</v>
      </c>
      <c r="B50">
        <v>5104</v>
      </c>
      <c r="C50">
        <v>97.3</v>
      </c>
      <c r="D50">
        <v>4.7</v>
      </c>
      <c r="E50">
        <v>0</v>
      </c>
      <c r="F50">
        <v>0</v>
      </c>
      <c r="G50">
        <v>0</v>
      </c>
      <c r="H50">
        <v>622811.74</v>
      </c>
    </row>
    <row r="51" spans="1:8">
      <c r="A51">
        <v>49710.29</v>
      </c>
      <c r="B51">
        <v>5559</v>
      </c>
      <c r="C51">
        <v>71</v>
      </c>
      <c r="D51">
        <v>4.5999999999999996</v>
      </c>
      <c r="E51">
        <v>0</v>
      </c>
      <c r="F51">
        <v>0</v>
      </c>
      <c r="G51">
        <v>0</v>
      </c>
      <c r="H51">
        <v>603297.56999999995</v>
      </c>
    </row>
    <row r="52" spans="1:8">
      <c r="A52">
        <v>48287.85</v>
      </c>
      <c r="B52">
        <v>5150</v>
      </c>
      <c r="C52">
        <v>80.400000000000006</v>
      </c>
      <c r="D52">
        <v>4.5</v>
      </c>
      <c r="E52">
        <v>0</v>
      </c>
      <c r="F52">
        <v>0</v>
      </c>
      <c r="G52">
        <v>0</v>
      </c>
      <c r="H52">
        <v>625672.86</v>
      </c>
    </row>
    <row r="53" spans="1:8">
      <c r="A53">
        <v>65312.49</v>
      </c>
      <c r="B53">
        <v>7189</v>
      </c>
      <c r="C53">
        <v>93.7</v>
      </c>
      <c r="D53">
        <v>4.5999999999999996</v>
      </c>
      <c r="E53">
        <v>0</v>
      </c>
      <c r="F53">
        <v>0</v>
      </c>
      <c r="G53">
        <v>0</v>
      </c>
      <c r="H53">
        <v>773815.14</v>
      </c>
    </row>
    <row r="54" spans="1:8">
      <c r="A54">
        <v>53015.46</v>
      </c>
      <c r="B54">
        <v>3279</v>
      </c>
      <c r="C54">
        <v>84.3</v>
      </c>
      <c r="D54">
        <v>3.9</v>
      </c>
      <c r="E54">
        <v>0</v>
      </c>
      <c r="F54">
        <v>0</v>
      </c>
      <c r="G54">
        <v>1</v>
      </c>
      <c r="H54">
        <v>463534.25</v>
      </c>
    </row>
    <row r="55" spans="1:8">
      <c r="A55">
        <v>99874.01</v>
      </c>
      <c r="B55">
        <v>5887</v>
      </c>
      <c r="C55">
        <v>88.7</v>
      </c>
      <c r="D55">
        <v>4.7</v>
      </c>
      <c r="E55">
        <v>0</v>
      </c>
      <c r="F55">
        <v>0</v>
      </c>
      <c r="G55">
        <v>1</v>
      </c>
      <c r="H55">
        <v>746677.75</v>
      </c>
    </row>
    <row r="56" spans="1:8">
      <c r="A56">
        <v>81195.5</v>
      </c>
      <c r="B56">
        <v>5516</v>
      </c>
      <c r="C56">
        <v>88</v>
      </c>
      <c r="D56">
        <v>4.3</v>
      </c>
      <c r="E56">
        <v>0</v>
      </c>
      <c r="F56">
        <v>0</v>
      </c>
      <c r="G56">
        <v>1</v>
      </c>
      <c r="H56">
        <v>720852.5</v>
      </c>
    </row>
    <row r="57" spans="1:8">
      <c r="A57">
        <v>27808.6</v>
      </c>
      <c r="B57">
        <v>2863</v>
      </c>
      <c r="C57">
        <v>89.3</v>
      </c>
      <c r="D57">
        <v>4.0999999999999996</v>
      </c>
      <c r="E57">
        <v>0</v>
      </c>
      <c r="F57">
        <v>0</v>
      </c>
      <c r="G57">
        <v>1</v>
      </c>
      <c r="H57">
        <v>487464.91</v>
      </c>
    </row>
    <row r="58" spans="1:8">
      <c r="A58">
        <v>19365.060000000001</v>
      </c>
      <c r="B58">
        <v>2378</v>
      </c>
      <c r="C58">
        <v>94.8</v>
      </c>
      <c r="D58">
        <v>3.5</v>
      </c>
      <c r="E58">
        <v>1</v>
      </c>
      <c r="F58">
        <v>0</v>
      </c>
      <c r="G58">
        <v>0</v>
      </c>
      <c r="H58">
        <v>518049.26</v>
      </c>
    </row>
    <row r="59" spans="1:8">
      <c r="A59">
        <v>59405.68</v>
      </c>
      <c r="B59">
        <v>2515</v>
      </c>
      <c r="C59">
        <v>76</v>
      </c>
      <c r="D59">
        <v>3.7</v>
      </c>
      <c r="E59">
        <v>1</v>
      </c>
      <c r="F59">
        <v>0</v>
      </c>
      <c r="G59">
        <v>0</v>
      </c>
      <c r="H59">
        <v>500298.48</v>
      </c>
    </row>
    <row r="60" spans="1:8">
      <c r="A60">
        <v>118910.48</v>
      </c>
      <c r="B60">
        <v>4022</v>
      </c>
      <c r="C60">
        <v>87.1</v>
      </c>
      <c r="D60">
        <v>3.1</v>
      </c>
      <c r="E60">
        <v>1</v>
      </c>
      <c r="F60">
        <v>0</v>
      </c>
      <c r="G60">
        <v>0</v>
      </c>
      <c r="H60">
        <v>617291.15</v>
      </c>
    </row>
    <row r="61" spans="1:8">
      <c r="A61">
        <v>52952.12</v>
      </c>
      <c r="B61">
        <v>4377</v>
      </c>
      <c r="C61">
        <v>88.6</v>
      </c>
      <c r="D61">
        <v>3.1</v>
      </c>
      <c r="E61">
        <v>1</v>
      </c>
      <c r="F61">
        <v>0</v>
      </c>
      <c r="G61">
        <v>0</v>
      </c>
      <c r="H61">
        <v>553756.43000000005</v>
      </c>
    </row>
    <row r="62" spans="1:8">
      <c r="A62">
        <v>74907.98</v>
      </c>
      <c r="B62">
        <v>5306</v>
      </c>
      <c r="C62">
        <v>95.6</v>
      </c>
      <c r="D62">
        <v>3.7</v>
      </c>
      <c r="E62">
        <v>0</v>
      </c>
      <c r="F62">
        <v>1</v>
      </c>
      <c r="G62">
        <v>0</v>
      </c>
      <c r="H62">
        <v>749559.71</v>
      </c>
    </row>
    <row r="63" spans="1:8">
      <c r="A63">
        <v>37284.660000000003</v>
      </c>
      <c r="B63">
        <v>3928</v>
      </c>
      <c r="C63">
        <v>86.5</v>
      </c>
      <c r="D63">
        <v>3.8</v>
      </c>
      <c r="E63">
        <v>0</v>
      </c>
      <c r="F63">
        <v>1</v>
      </c>
      <c r="G63">
        <v>0</v>
      </c>
      <c r="H63">
        <v>615966.48</v>
      </c>
    </row>
    <row r="64" spans="1:8">
      <c r="A64">
        <v>50343.19</v>
      </c>
      <c r="B64">
        <v>3845</v>
      </c>
      <c r="C64">
        <v>88.7</v>
      </c>
      <c r="D64">
        <v>3.3</v>
      </c>
      <c r="E64">
        <v>0</v>
      </c>
      <c r="F64">
        <v>1</v>
      </c>
      <c r="G64">
        <v>0</v>
      </c>
      <c r="H64">
        <v>572011.19999999995</v>
      </c>
    </row>
    <row r="65" spans="1:8">
      <c r="A65">
        <v>74954.47</v>
      </c>
      <c r="B65">
        <v>6620</v>
      </c>
      <c r="C65">
        <v>91.1</v>
      </c>
      <c r="D65">
        <v>3.5</v>
      </c>
      <c r="E65">
        <v>0</v>
      </c>
      <c r="F65">
        <v>1</v>
      </c>
      <c r="G65">
        <v>0</v>
      </c>
      <c r="H65">
        <v>761860.19</v>
      </c>
    </row>
    <row r="66" spans="1:8">
      <c r="A66">
        <v>70040.31</v>
      </c>
      <c r="B66">
        <v>9175</v>
      </c>
      <c r="C66">
        <v>95.1</v>
      </c>
      <c r="D66">
        <v>3.4</v>
      </c>
      <c r="E66">
        <v>0</v>
      </c>
      <c r="F66">
        <v>0</v>
      </c>
      <c r="G66">
        <v>1</v>
      </c>
      <c r="H66">
        <v>784502.68</v>
      </c>
    </row>
    <row r="67" spans="1:8">
      <c r="A67">
        <v>51148.69</v>
      </c>
      <c r="B67">
        <v>7940</v>
      </c>
      <c r="C67">
        <v>93.3</v>
      </c>
      <c r="D67">
        <v>3.6</v>
      </c>
      <c r="E67">
        <v>0</v>
      </c>
      <c r="F67">
        <v>0</v>
      </c>
      <c r="G67">
        <v>1</v>
      </c>
      <c r="H67">
        <v>717141.55</v>
      </c>
    </row>
    <row r="68" spans="1:8">
      <c r="A68">
        <v>79346.100000000006</v>
      </c>
      <c r="B68">
        <v>9628</v>
      </c>
      <c r="C68">
        <v>99</v>
      </c>
      <c r="D68">
        <v>3.2</v>
      </c>
      <c r="E68">
        <v>0</v>
      </c>
      <c r="F68">
        <v>0</v>
      </c>
      <c r="G68">
        <v>1</v>
      </c>
      <c r="H68">
        <v>685379.08</v>
      </c>
    </row>
    <row r="69" spans="1:8">
      <c r="A69">
        <v>42018.400000000001</v>
      </c>
      <c r="B69">
        <v>8296</v>
      </c>
      <c r="C69">
        <v>91.8</v>
      </c>
      <c r="D69">
        <v>3.4</v>
      </c>
      <c r="E69">
        <v>0</v>
      </c>
      <c r="F69">
        <v>0</v>
      </c>
      <c r="G69">
        <v>1</v>
      </c>
      <c r="H69">
        <v>740496.65</v>
      </c>
    </row>
    <row r="70" spans="1:8">
      <c r="A70">
        <v>70937.240000000005</v>
      </c>
      <c r="B70">
        <v>3595</v>
      </c>
      <c r="C70">
        <v>88.9</v>
      </c>
      <c r="D70">
        <v>3.3</v>
      </c>
      <c r="E70">
        <v>1</v>
      </c>
      <c r="F70">
        <v>0</v>
      </c>
      <c r="G70">
        <v>0</v>
      </c>
      <c r="H70">
        <v>661927.14</v>
      </c>
    </row>
    <row r="71" spans="1:8">
      <c r="A71">
        <v>36813.449999999997</v>
      </c>
      <c r="B71">
        <v>2834</v>
      </c>
      <c r="C71">
        <v>81.8</v>
      </c>
      <c r="D71">
        <v>3.3</v>
      </c>
      <c r="E71">
        <v>1</v>
      </c>
      <c r="F71">
        <v>0</v>
      </c>
      <c r="G71">
        <v>0</v>
      </c>
      <c r="H71">
        <v>479050.5</v>
      </c>
    </row>
    <row r="72" spans="1:8">
      <c r="A72">
        <v>60571.82</v>
      </c>
      <c r="B72">
        <v>3193</v>
      </c>
      <c r="C72">
        <v>99</v>
      </c>
      <c r="D72">
        <v>3.2</v>
      </c>
      <c r="E72">
        <v>1</v>
      </c>
      <c r="F72">
        <v>0</v>
      </c>
      <c r="G72">
        <v>0</v>
      </c>
      <c r="H72">
        <v>605023.87</v>
      </c>
    </row>
    <row r="73" spans="1:8">
      <c r="A73">
        <v>55081.16</v>
      </c>
      <c r="B73">
        <v>5485</v>
      </c>
      <c r="C73">
        <v>88</v>
      </c>
      <c r="D73">
        <v>3.5</v>
      </c>
      <c r="E73">
        <v>1</v>
      </c>
      <c r="F73">
        <v>0</v>
      </c>
      <c r="G73">
        <v>0</v>
      </c>
      <c r="H73">
        <v>674774.09</v>
      </c>
    </row>
    <row r="74" spans="1:8">
      <c r="A74">
        <v>46201.46</v>
      </c>
      <c r="B74">
        <v>5918</v>
      </c>
      <c r="C74">
        <v>78.8</v>
      </c>
      <c r="D74">
        <v>4.5</v>
      </c>
      <c r="E74">
        <v>1</v>
      </c>
      <c r="F74">
        <v>0</v>
      </c>
      <c r="G74">
        <v>0</v>
      </c>
      <c r="H74">
        <v>616069.41</v>
      </c>
    </row>
    <row r="75" spans="1:8">
      <c r="A75">
        <v>53762.92</v>
      </c>
      <c r="B75">
        <v>6821</v>
      </c>
      <c r="C75">
        <v>94.6</v>
      </c>
      <c r="D75">
        <v>4.4000000000000004</v>
      </c>
      <c r="E75">
        <v>1</v>
      </c>
      <c r="F75">
        <v>0</v>
      </c>
      <c r="G75">
        <v>0</v>
      </c>
      <c r="H75">
        <v>630829.93999999994</v>
      </c>
    </row>
    <row r="76" spans="1:8">
      <c r="A76">
        <v>70144.78</v>
      </c>
      <c r="B76">
        <v>6806</v>
      </c>
      <c r="C76">
        <v>93.1</v>
      </c>
      <c r="D76">
        <v>4.3</v>
      </c>
      <c r="E76">
        <v>1</v>
      </c>
      <c r="F76">
        <v>0</v>
      </c>
      <c r="G76">
        <v>0</v>
      </c>
      <c r="H76">
        <v>788087.68</v>
      </c>
    </row>
    <row r="77" spans="1:8">
      <c r="A77">
        <v>58749.63</v>
      </c>
      <c r="B77">
        <v>8252</v>
      </c>
      <c r="C77">
        <v>85.2</v>
      </c>
      <c r="D77">
        <v>4.5</v>
      </c>
      <c r="E77">
        <v>1</v>
      </c>
      <c r="F77">
        <v>0</v>
      </c>
      <c r="G77">
        <v>0</v>
      </c>
      <c r="H77">
        <v>680840.36</v>
      </c>
    </row>
    <row r="78" spans="1:8">
      <c r="A78">
        <v>56973.18</v>
      </c>
      <c r="B78">
        <v>6662</v>
      </c>
      <c r="C78">
        <v>77.7</v>
      </c>
      <c r="D78">
        <v>3.2</v>
      </c>
      <c r="E78">
        <v>0</v>
      </c>
      <c r="F78">
        <v>1</v>
      </c>
      <c r="G78">
        <v>0</v>
      </c>
      <c r="H78">
        <v>643657.47</v>
      </c>
    </row>
    <row r="79" spans="1:8">
      <c r="A79">
        <v>54872.82</v>
      </c>
      <c r="B79">
        <v>5962</v>
      </c>
      <c r="C79">
        <v>85.4</v>
      </c>
      <c r="D79">
        <v>2.9</v>
      </c>
      <c r="E79">
        <v>0</v>
      </c>
      <c r="F79">
        <v>1</v>
      </c>
      <c r="G79">
        <v>0</v>
      </c>
      <c r="H79">
        <v>691112.6</v>
      </c>
    </row>
    <row r="80" spans="1:8">
      <c r="A80">
        <v>80562.81</v>
      </c>
      <c r="B80">
        <v>7470</v>
      </c>
      <c r="C80">
        <v>83.5</v>
      </c>
      <c r="D80">
        <v>3.3</v>
      </c>
      <c r="E80">
        <v>0</v>
      </c>
      <c r="F80">
        <v>1</v>
      </c>
      <c r="G80">
        <v>0</v>
      </c>
      <c r="H80">
        <v>776922.17</v>
      </c>
    </row>
    <row r="81" spans="1:8">
      <c r="A81">
        <v>77999.899999999994</v>
      </c>
      <c r="B81">
        <v>5974</v>
      </c>
      <c r="C81">
        <v>81.3</v>
      </c>
      <c r="D81">
        <v>3.2</v>
      </c>
      <c r="E81">
        <v>0</v>
      </c>
      <c r="F81">
        <v>1</v>
      </c>
      <c r="G81">
        <v>0</v>
      </c>
      <c r="H81">
        <v>636561.34</v>
      </c>
    </row>
    <row r="82" spans="1:8">
      <c r="A82">
        <v>60881.01</v>
      </c>
      <c r="B82">
        <v>5410</v>
      </c>
      <c r="C82">
        <v>83.9</v>
      </c>
      <c r="D82">
        <v>4.5999999999999996</v>
      </c>
      <c r="E82">
        <v>0</v>
      </c>
      <c r="F82">
        <v>0</v>
      </c>
      <c r="G82">
        <v>1</v>
      </c>
      <c r="H82">
        <v>621369.57999999996</v>
      </c>
    </row>
    <row r="83" spans="1:8">
      <c r="A83">
        <v>60628.38</v>
      </c>
      <c r="B83">
        <v>4451</v>
      </c>
      <c r="C83">
        <v>89.6</v>
      </c>
      <c r="D83">
        <v>4.5999999999999996</v>
      </c>
      <c r="E83">
        <v>0</v>
      </c>
      <c r="F83">
        <v>0</v>
      </c>
      <c r="G83">
        <v>1</v>
      </c>
      <c r="H83">
        <v>682208.01</v>
      </c>
    </row>
    <row r="84" spans="1:8">
      <c r="A84">
        <v>72731.14</v>
      </c>
      <c r="B84">
        <v>4644</v>
      </c>
      <c r="C84">
        <v>87.1</v>
      </c>
      <c r="D84">
        <v>4.5999999999999996</v>
      </c>
      <c r="E84">
        <v>0</v>
      </c>
      <c r="F84">
        <v>0</v>
      </c>
      <c r="G84">
        <v>1</v>
      </c>
      <c r="H84">
        <v>727241.86</v>
      </c>
    </row>
    <row r="85" spans="1:8">
      <c r="A85">
        <v>36475.71</v>
      </c>
      <c r="B85">
        <v>3559</v>
      </c>
      <c r="C85">
        <v>83.6</v>
      </c>
      <c r="D85">
        <v>4.2</v>
      </c>
      <c r="E85">
        <v>0</v>
      </c>
      <c r="F85">
        <v>0</v>
      </c>
      <c r="G85">
        <v>1</v>
      </c>
      <c r="H85">
        <v>569100.78</v>
      </c>
    </row>
    <row r="86" spans="1:8">
      <c r="A86">
        <v>55388.11</v>
      </c>
      <c r="B86">
        <v>3091</v>
      </c>
      <c r="C86">
        <v>85.4</v>
      </c>
      <c r="D86">
        <v>4.9000000000000004</v>
      </c>
      <c r="E86">
        <v>0</v>
      </c>
      <c r="F86">
        <v>0</v>
      </c>
      <c r="G86">
        <v>1</v>
      </c>
      <c r="H86">
        <v>574436.29</v>
      </c>
    </row>
    <row r="87" spans="1:8">
      <c r="A87">
        <v>88443.77</v>
      </c>
      <c r="B87">
        <v>4004</v>
      </c>
      <c r="C87">
        <v>91.9</v>
      </c>
      <c r="D87">
        <v>3.9</v>
      </c>
      <c r="E87">
        <v>0</v>
      </c>
      <c r="F87">
        <v>0</v>
      </c>
      <c r="G87">
        <v>1</v>
      </c>
      <c r="H87">
        <v>611766.72</v>
      </c>
    </row>
    <row r="88" spans="1:8">
      <c r="A88">
        <v>78231.91</v>
      </c>
      <c r="B88">
        <v>3788</v>
      </c>
      <c r="C88">
        <v>88.5</v>
      </c>
      <c r="D88">
        <v>4.3</v>
      </c>
      <c r="E88">
        <v>0</v>
      </c>
      <c r="F88">
        <v>0</v>
      </c>
      <c r="G88">
        <v>1</v>
      </c>
      <c r="H88">
        <v>614596.31999999995</v>
      </c>
    </row>
    <row r="89" spans="1:8">
      <c r="A89">
        <v>18996.32</v>
      </c>
      <c r="B89">
        <v>1260</v>
      </c>
      <c r="C89">
        <v>86.4</v>
      </c>
      <c r="D89">
        <v>4.5999999999999996</v>
      </c>
      <c r="E89">
        <v>0</v>
      </c>
      <c r="F89">
        <v>0</v>
      </c>
      <c r="G89">
        <v>1</v>
      </c>
      <c r="H89">
        <v>450711.92</v>
      </c>
    </row>
    <row r="90" spans="1:8">
      <c r="A90">
        <v>50517.94</v>
      </c>
      <c r="B90">
        <v>7024</v>
      </c>
      <c r="C90">
        <v>79.2</v>
      </c>
      <c r="D90">
        <v>4.0999999999999996</v>
      </c>
      <c r="E90">
        <v>0</v>
      </c>
      <c r="F90">
        <v>1</v>
      </c>
      <c r="G90">
        <v>0</v>
      </c>
      <c r="H90">
        <v>711213.46</v>
      </c>
    </row>
    <row r="91" spans="1:8">
      <c r="A91">
        <v>141540.29</v>
      </c>
      <c r="B91">
        <v>5400</v>
      </c>
      <c r="C91">
        <v>87</v>
      </c>
      <c r="D91">
        <v>4.5</v>
      </c>
      <c r="E91">
        <v>0</v>
      </c>
      <c r="F91">
        <v>1</v>
      </c>
      <c r="G91">
        <v>0</v>
      </c>
      <c r="H91">
        <v>627171.9</v>
      </c>
    </row>
    <row r="92" spans="1:8">
      <c r="A92">
        <v>82116.19</v>
      </c>
      <c r="B92">
        <v>5988</v>
      </c>
      <c r="C92">
        <v>91.8</v>
      </c>
      <c r="D92">
        <v>4.7</v>
      </c>
      <c r="E92">
        <v>0</v>
      </c>
      <c r="F92">
        <v>1</v>
      </c>
      <c r="G92">
        <v>0</v>
      </c>
      <c r="H92">
        <v>739852.58</v>
      </c>
    </row>
    <row r="93" spans="1:8">
      <c r="A93">
        <v>31207.51</v>
      </c>
      <c r="B93">
        <v>3701</v>
      </c>
      <c r="C93">
        <v>84.7</v>
      </c>
      <c r="D93">
        <v>4.3</v>
      </c>
      <c r="E93">
        <v>0</v>
      </c>
      <c r="F93">
        <v>1</v>
      </c>
      <c r="G93">
        <v>0</v>
      </c>
      <c r="H93">
        <v>586307.22</v>
      </c>
    </row>
    <row r="94" spans="1:8">
      <c r="A94">
        <v>38966.589999999997</v>
      </c>
      <c r="B94">
        <v>4509</v>
      </c>
      <c r="C94">
        <v>91.1</v>
      </c>
      <c r="D94">
        <v>4.5999999999999996</v>
      </c>
      <c r="E94">
        <v>0</v>
      </c>
      <c r="F94">
        <v>0</v>
      </c>
      <c r="G94">
        <v>1</v>
      </c>
      <c r="H94">
        <v>585937.48</v>
      </c>
    </row>
    <row r="95" spans="1:8">
      <c r="A95">
        <v>67439.3</v>
      </c>
      <c r="B95">
        <v>6477</v>
      </c>
      <c r="C95">
        <v>90.9</v>
      </c>
      <c r="D95">
        <v>4.5</v>
      </c>
      <c r="E95">
        <v>0</v>
      </c>
      <c r="F95">
        <v>0</v>
      </c>
      <c r="G95">
        <v>1</v>
      </c>
      <c r="H95">
        <v>753473.55</v>
      </c>
    </row>
    <row r="96" spans="1:8">
      <c r="A96">
        <v>86421.88</v>
      </c>
      <c r="B96">
        <v>7970</v>
      </c>
      <c r="C96">
        <v>91.3</v>
      </c>
      <c r="D96">
        <v>5</v>
      </c>
      <c r="E96">
        <v>0</v>
      </c>
      <c r="F96">
        <v>0</v>
      </c>
      <c r="G96">
        <v>1</v>
      </c>
      <c r="H96">
        <v>838250.32</v>
      </c>
    </row>
    <row r="97" spans="1:8">
      <c r="A97">
        <v>9534.65</v>
      </c>
      <c r="B97">
        <v>6057</v>
      </c>
      <c r="C97">
        <v>94.1</v>
      </c>
      <c r="D97">
        <v>4.5</v>
      </c>
      <c r="E97">
        <v>0</v>
      </c>
      <c r="F97">
        <v>0</v>
      </c>
      <c r="G97">
        <v>1</v>
      </c>
      <c r="H97">
        <v>607898.12</v>
      </c>
    </row>
    <row r="98" spans="1:8">
      <c r="A98">
        <v>61132.07</v>
      </c>
      <c r="B98">
        <v>6394</v>
      </c>
      <c r="C98">
        <v>91</v>
      </c>
      <c r="D98">
        <v>4.4000000000000004</v>
      </c>
      <c r="E98">
        <v>0</v>
      </c>
      <c r="F98">
        <v>0</v>
      </c>
      <c r="G98">
        <v>1</v>
      </c>
      <c r="H98">
        <v>691113.62</v>
      </c>
    </row>
    <row r="99" spans="1:8">
      <c r="A99">
        <v>78839.39</v>
      </c>
      <c r="B99">
        <v>5150</v>
      </c>
      <c r="C99">
        <v>85.8</v>
      </c>
      <c r="D99">
        <v>4.3</v>
      </c>
      <c r="E99">
        <v>0</v>
      </c>
      <c r="F99">
        <v>0</v>
      </c>
      <c r="G99">
        <v>1</v>
      </c>
      <c r="H99">
        <v>735509.4</v>
      </c>
    </row>
    <row r="100" spans="1:8">
      <c r="A100">
        <v>38752.800000000003</v>
      </c>
      <c r="B100">
        <v>4712</v>
      </c>
      <c r="C100">
        <v>89.7</v>
      </c>
      <c r="D100">
        <v>4.3</v>
      </c>
      <c r="E100">
        <v>0</v>
      </c>
      <c r="F100">
        <v>0</v>
      </c>
      <c r="G100">
        <v>1</v>
      </c>
      <c r="H100">
        <v>605775.32999999996</v>
      </c>
    </row>
    <row r="101" spans="1:8">
      <c r="A101">
        <v>55101.1</v>
      </c>
      <c r="B101">
        <v>5281</v>
      </c>
      <c r="C101">
        <v>91</v>
      </c>
      <c r="D101">
        <v>4.4000000000000004</v>
      </c>
      <c r="E101">
        <v>0</v>
      </c>
      <c r="F101">
        <v>0</v>
      </c>
      <c r="G101">
        <v>1</v>
      </c>
      <c r="H101">
        <v>675177.68</v>
      </c>
    </row>
    <row r="102" spans="1:8">
      <c r="A102">
        <v>53084.76</v>
      </c>
      <c r="B102">
        <v>3642</v>
      </c>
      <c r="C102">
        <v>91.4</v>
      </c>
      <c r="D102">
        <v>4.4000000000000004</v>
      </c>
      <c r="E102">
        <v>1</v>
      </c>
      <c r="F102">
        <v>0</v>
      </c>
      <c r="G102">
        <v>0</v>
      </c>
      <c r="H102">
        <v>635181.35</v>
      </c>
    </row>
    <row r="103" spans="1:8">
      <c r="A103">
        <v>63101.59</v>
      </c>
      <c r="B103">
        <v>4373</v>
      </c>
      <c r="C103">
        <v>90.4</v>
      </c>
      <c r="D103">
        <v>4.7</v>
      </c>
      <c r="E103">
        <v>1</v>
      </c>
      <c r="F103">
        <v>0</v>
      </c>
      <c r="G103">
        <v>0</v>
      </c>
      <c r="H103">
        <v>586626.93999999994</v>
      </c>
    </row>
    <row r="104" spans="1:8">
      <c r="A104">
        <v>90084.4</v>
      </c>
      <c r="B104">
        <v>6832</v>
      </c>
      <c r="C104">
        <v>80.5</v>
      </c>
      <c r="D104">
        <v>4.4000000000000004</v>
      </c>
      <c r="E104">
        <v>1</v>
      </c>
      <c r="F104">
        <v>0</v>
      </c>
      <c r="G104">
        <v>0</v>
      </c>
      <c r="H104">
        <v>740102.64</v>
      </c>
    </row>
    <row r="105" spans="1:8">
      <c r="A105">
        <v>32266.639999999999</v>
      </c>
      <c r="B105">
        <v>2414</v>
      </c>
      <c r="C105">
        <v>92.1</v>
      </c>
      <c r="D105">
        <v>5</v>
      </c>
      <c r="E105">
        <v>1</v>
      </c>
      <c r="F105">
        <v>0</v>
      </c>
      <c r="G105">
        <v>0</v>
      </c>
      <c r="H105">
        <v>625514.04</v>
      </c>
    </row>
    <row r="106" spans="1:8">
      <c r="A106">
        <v>57919.07</v>
      </c>
      <c r="B106">
        <v>7374</v>
      </c>
      <c r="C106">
        <v>82.3</v>
      </c>
      <c r="D106">
        <v>2.9</v>
      </c>
      <c r="E106">
        <v>0</v>
      </c>
      <c r="F106">
        <v>0</v>
      </c>
      <c r="G106">
        <v>1</v>
      </c>
      <c r="H106">
        <v>727227.2</v>
      </c>
    </row>
    <row r="107" spans="1:8">
      <c r="A107">
        <v>74679.350000000006</v>
      </c>
      <c r="B107">
        <v>8739</v>
      </c>
      <c r="C107">
        <v>91.8</v>
      </c>
      <c r="D107">
        <v>3</v>
      </c>
      <c r="E107">
        <v>0</v>
      </c>
      <c r="F107">
        <v>0</v>
      </c>
      <c r="G107">
        <v>1</v>
      </c>
      <c r="H107">
        <v>783797.89</v>
      </c>
    </row>
    <row r="108" spans="1:8">
      <c r="A108">
        <v>64294.23</v>
      </c>
      <c r="B108">
        <v>6992</v>
      </c>
      <c r="C108">
        <v>94.1</v>
      </c>
      <c r="D108">
        <v>3</v>
      </c>
      <c r="E108">
        <v>0</v>
      </c>
      <c r="F108">
        <v>0</v>
      </c>
      <c r="G108">
        <v>1</v>
      </c>
      <c r="H108">
        <v>795153.84</v>
      </c>
    </row>
    <row r="109" spans="1:8">
      <c r="A109">
        <v>31042.03</v>
      </c>
      <c r="B109">
        <v>7107</v>
      </c>
      <c r="C109">
        <v>87</v>
      </c>
      <c r="D109">
        <v>3.2</v>
      </c>
      <c r="E109">
        <v>0</v>
      </c>
      <c r="F109">
        <v>0</v>
      </c>
      <c r="G109">
        <v>1</v>
      </c>
      <c r="H109">
        <v>665594.93999999994</v>
      </c>
    </row>
    <row r="110" spans="1:8">
      <c r="A110">
        <v>75265.02</v>
      </c>
      <c r="B110">
        <v>6975</v>
      </c>
      <c r="C110">
        <v>73.8</v>
      </c>
      <c r="D110">
        <v>3.8</v>
      </c>
      <c r="E110">
        <v>1</v>
      </c>
      <c r="F110">
        <v>0</v>
      </c>
      <c r="G110">
        <v>0</v>
      </c>
      <c r="H110">
        <v>709478.39</v>
      </c>
    </row>
    <row r="111" spans="1:8">
      <c r="A111">
        <v>69411.7</v>
      </c>
      <c r="B111">
        <v>5493</v>
      </c>
      <c r="C111">
        <v>86.5</v>
      </c>
      <c r="D111">
        <v>3.8</v>
      </c>
      <c r="E111">
        <v>1</v>
      </c>
      <c r="F111">
        <v>0</v>
      </c>
      <c r="G111">
        <v>0</v>
      </c>
      <c r="H111">
        <v>664162.49</v>
      </c>
    </row>
    <row r="112" spans="1:8">
      <c r="A112">
        <v>51056.15</v>
      </c>
      <c r="B112">
        <v>5686</v>
      </c>
      <c r="C112">
        <v>89.9</v>
      </c>
      <c r="D112">
        <v>4.2</v>
      </c>
      <c r="E112">
        <v>1</v>
      </c>
      <c r="F112">
        <v>0</v>
      </c>
      <c r="G112">
        <v>0</v>
      </c>
      <c r="H112">
        <v>633494.21</v>
      </c>
    </row>
    <row r="113" spans="1:8">
      <c r="A113">
        <v>52758.01</v>
      </c>
      <c r="B113">
        <v>4063</v>
      </c>
      <c r="C113">
        <v>91.7</v>
      </c>
      <c r="D113">
        <v>3.5</v>
      </c>
      <c r="E113">
        <v>1</v>
      </c>
      <c r="F113">
        <v>0</v>
      </c>
      <c r="G113">
        <v>0</v>
      </c>
      <c r="H113">
        <v>713611.16</v>
      </c>
    </row>
    <row r="114" spans="1:8">
      <c r="A114">
        <v>61426.04</v>
      </c>
      <c r="B114">
        <v>8966</v>
      </c>
      <c r="C114">
        <v>76.400000000000006</v>
      </c>
      <c r="D114">
        <v>3.1</v>
      </c>
      <c r="E114">
        <v>0</v>
      </c>
      <c r="F114">
        <v>0</v>
      </c>
      <c r="G114">
        <v>1</v>
      </c>
      <c r="H114">
        <v>778397.97</v>
      </c>
    </row>
    <row r="115" spans="1:8">
      <c r="A115">
        <v>80176.34</v>
      </c>
      <c r="B115">
        <v>9489</v>
      </c>
      <c r="C115">
        <v>94.3</v>
      </c>
      <c r="D115">
        <v>3.5</v>
      </c>
      <c r="E115">
        <v>0</v>
      </c>
      <c r="F115">
        <v>0</v>
      </c>
      <c r="G115">
        <v>1</v>
      </c>
      <c r="H115">
        <v>873380.02</v>
      </c>
    </row>
    <row r="116" spans="1:8">
      <c r="A116">
        <v>33605.18</v>
      </c>
      <c r="B116">
        <v>9225</v>
      </c>
      <c r="C116">
        <v>88.4</v>
      </c>
      <c r="D116">
        <v>2.8</v>
      </c>
      <c r="E116">
        <v>0</v>
      </c>
      <c r="F116">
        <v>0</v>
      </c>
      <c r="G116">
        <v>1</v>
      </c>
      <c r="H116">
        <v>697287.9</v>
      </c>
    </row>
    <row r="117" spans="1:8">
      <c r="A117">
        <v>25990.54</v>
      </c>
      <c r="B117">
        <v>9249</v>
      </c>
      <c r="C117">
        <v>92.5</v>
      </c>
      <c r="D117">
        <v>3.3</v>
      </c>
      <c r="E117">
        <v>0</v>
      </c>
      <c r="F117">
        <v>0</v>
      </c>
      <c r="G117">
        <v>1</v>
      </c>
      <c r="H117">
        <v>718074.79</v>
      </c>
    </row>
    <row r="118" spans="1:8">
      <c r="A118">
        <v>43685.14</v>
      </c>
      <c r="B118">
        <v>7821</v>
      </c>
      <c r="C118">
        <v>91</v>
      </c>
      <c r="D118">
        <v>4.7</v>
      </c>
      <c r="E118">
        <v>0</v>
      </c>
      <c r="F118">
        <v>0</v>
      </c>
      <c r="G118">
        <v>1</v>
      </c>
      <c r="H118">
        <v>714942.43</v>
      </c>
    </row>
    <row r="119" spans="1:8">
      <c r="A119">
        <v>57360.01</v>
      </c>
      <c r="B119">
        <v>8434</v>
      </c>
      <c r="C119">
        <v>84.1</v>
      </c>
      <c r="D119">
        <v>4.7</v>
      </c>
      <c r="E119">
        <v>0</v>
      </c>
      <c r="F119">
        <v>0</v>
      </c>
      <c r="G119">
        <v>1</v>
      </c>
      <c r="H119">
        <v>820519.04</v>
      </c>
    </row>
    <row r="120" spans="1:8">
      <c r="A120">
        <v>42415.47</v>
      </c>
      <c r="B120">
        <v>8512</v>
      </c>
      <c r="C120">
        <v>96.8</v>
      </c>
      <c r="D120">
        <v>4.5999999999999996</v>
      </c>
      <c r="E120">
        <v>0</v>
      </c>
      <c r="F120">
        <v>0</v>
      </c>
      <c r="G120">
        <v>1</v>
      </c>
      <c r="H120">
        <v>684217.32</v>
      </c>
    </row>
    <row r="121" spans="1:8">
      <c r="A121">
        <v>54968.98</v>
      </c>
      <c r="B121">
        <v>7816</v>
      </c>
      <c r="C121">
        <v>95.7</v>
      </c>
      <c r="D121">
        <v>4.7</v>
      </c>
      <c r="E121">
        <v>0</v>
      </c>
      <c r="F121">
        <v>0</v>
      </c>
      <c r="G121">
        <v>1</v>
      </c>
      <c r="H121">
        <v>735480.19</v>
      </c>
    </row>
    <row r="122" spans="1:8">
      <c r="A122">
        <v>43896.13</v>
      </c>
      <c r="B122">
        <v>3853</v>
      </c>
      <c r="C122">
        <v>83</v>
      </c>
      <c r="D122">
        <v>4.4000000000000004</v>
      </c>
      <c r="E122">
        <v>0</v>
      </c>
      <c r="F122">
        <v>0</v>
      </c>
      <c r="G122">
        <v>0</v>
      </c>
      <c r="H122">
        <v>509484.81</v>
      </c>
    </row>
    <row r="123" spans="1:8">
      <c r="A123">
        <v>83044.17</v>
      </c>
      <c r="B123">
        <v>3694</v>
      </c>
      <c r="C123">
        <v>89.4</v>
      </c>
      <c r="D123">
        <v>3.7</v>
      </c>
      <c r="E123">
        <v>0</v>
      </c>
      <c r="F123">
        <v>0</v>
      </c>
      <c r="G123">
        <v>0</v>
      </c>
      <c r="H123">
        <v>654317.09</v>
      </c>
    </row>
    <row r="124" spans="1:8">
      <c r="A124">
        <v>48396.13</v>
      </c>
      <c r="B124">
        <v>4423</v>
      </c>
      <c r="C124">
        <v>85.7</v>
      </c>
      <c r="D124">
        <v>3.9</v>
      </c>
      <c r="E124">
        <v>0</v>
      </c>
      <c r="F124">
        <v>0</v>
      </c>
      <c r="G124">
        <v>0</v>
      </c>
      <c r="H124">
        <v>557487.26</v>
      </c>
    </row>
    <row r="125" spans="1:8">
      <c r="A125">
        <v>19063.48</v>
      </c>
      <c r="B125">
        <v>1906</v>
      </c>
      <c r="C125">
        <v>97.8</v>
      </c>
      <c r="D125">
        <v>4.4000000000000004</v>
      </c>
      <c r="E125">
        <v>0</v>
      </c>
      <c r="F125">
        <v>0</v>
      </c>
      <c r="G125">
        <v>0</v>
      </c>
      <c r="H125">
        <v>441275.42</v>
      </c>
    </row>
    <row r="126" spans="1:8">
      <c r="A126">
        <v>61541.21</v>
      </c>
      <c r="B126">
        <v>10396</v>
      </c>
      <c r="C126">
        <v>88.1</v>
      </c>
      <c r="D126">
        <v>4.8</v>
      </c>
      <c r="E126">
        <v>0</v>
      </c>
      <c r="F126">
        <v>1</v>
      </c>
      <c r="G126">
        <v>0</v>
      </c>
      <c r="H126">
        <v>914544.17</v>
      </c>
    </row>
    <row r="127" spans="1:8">
      <c r="A127">
        <v>44747</v>
      </c>
      <c r="B127">
        <v>11076</v>
      </c>
      <c r="C127">
        <v>98.3</v>
      </c>
      <c r="D127">
        <v>4.4000000000000004</v>
      </c>
      <c r="E127">
        <v>0</v>
      </c>
      <c r="F127">
        <v>1</v>
      </c>
      <c r="G127">
        <v>0</v>
      </c>
      <c r="H127">
        <v>842439.67</v>
      </c>
    </row>
    <row r="128" spans="1:8">
      <c r="A128">
        <v>56517.9</v>
      </c>
      <c r="B128">
        <v>9574</v>
      </c>
      <c r="C128">
        <v>88.2</v>
      </c>
      <c r="D128">
        <v>4.9000000000000004</v>
      </c>
      <c r="E128">
        <v>0</v>
      </c>
      <c r="F128">
        <v>1</v>
      </c>
      <c r="G128">
        <v>0</v>
      </c>
      <c r="H128">
        <v>842157.92</v>
      </c>
    </row>
    <row r="129" spans="1:8">
      <c r="A129">
        <v>37828.5</v>
      </c>
      <c r="B129">
        <v>8221</v>
      </c>
      <c r="C129">
        <v>81.5</v>
      </c>
      <c r="D129">
        <v>4.8</v>
      </c>
      <c r="E129">
        <v>0</v>
      </c>
      <c r="F129">
        <v>1</v>
      </c>
      <c r="G129">
        <v>0</v>
      </c>
      <c r="H129">
        <v>697155.3</v>
      </c>
    </row>
    <row r="130" spans="1:8">
      <c r="A130">
        <v>66250.53</v>
      </c>
      <c r="B130">
        <v>10618</v>
      </c>
      <c r="C130">
        <v>88.3</v>
      </c>
      <c r="D130">
        <v>4.4000000000000004</v>
      </c>
      <c r="E130">
        <v>1</v>
      </c>
      <c r="F130">
        <v>0</v>
      </c>
      <c r="G130">
        <v>0</v>
      </c>
      <c r="H130">
        <v>849018.3</v>
      </c>
    </row>
    <row r="131" spans="1:8">
      <c r="A131">
        <v>68410.929999999993</v>
      </c>
      <c r="B131">
        <v>10596</v>
      </c>
      <c r="C131">
        <v>81.2</v>
      </c>
      <c r="D131">
        <v>4</v>
      </c>
      <c r="E131">
        <v>1</v>
      </c>
      <c r="F131">
        <v>0</v>
      </c>
      <c r="G131">
        <v>0</v>
      </c>
      <c r="H131">
        <v>801830.35</v>
      </c>
    </row>
    <row r="132" spans="1:8">
      <c r="A132">
        <v>50735.63</v>
      </c>
      <c r="B132">
        <v>9619</v>
      </c>
      <c r="C132">
        <v>93.8</v>
      </c>
      <c r="D132">
        <v>4.5</v>
      </c>
      <c r="E132">
        <v>1</v>
      </c>
      <c r="F132">
        <v>0</v>
      </c>
      <c r="G132">
        <v>0</v>
      </c>
      <c r="H132">
        <v>725235.28</v>
      </c>
    </row>
    <row r="133" spans="1:8">
      <c r="A133">
        <v>66455.8</v>
      </c>
      <c r="B133">
        <v>10836</v>
      </c>
      <c r="C133">
        <v>85</v>
      </c>
      <c r="D133">
        <v>4.5</v>
      </c>
      <c r="E133">
        <v>1</v>
      </c>
      <c r="F133">
        <v>0</v>
      </c>
      <c r="G133">
        <v>0</v>
      </c>
      <c r="H133">
        <v>811452.72</v>
      </c>
    </row>
    <row r="134" spans="1:8">
      <c r="A134">
        <v>70276.28</v>
      </c>
      <c r="B134">
        <v>3043</v>
      </c>
      <c r="C134">
        <v>87.9</v>
      </c>
      <c r="D134">
        <v>4.4000000000000004</v>
      </c>
      <c r="E134">
        <v>0</v>
      </c>
      <c r="F134">
        <v>0</v>
      </c>
      <c r="G134">
        <v>0</v>
      </c>
      <c r="H134">
        <v>527300.13</v>
      </c>
    </row>
    <row r="135" spans="1:8">
      <c r="A135">
        <v>22071.64</v>
      </c>
      <c r="B135">
        <v>1814</v>
      </c>
      <c r="C135">
        <v>81.099999999999994</v>
      </c>
      <c r="D135">
        <v>3.9</v>
      </c>
      <c r="E135">
        <v>0</v>
      </c>
      <c r="F135">
        <v>0</v>
      </c>
      <c r="G135">
        <v>0</v>
      </c>
      <c r="H135">
        <v>400831.65</v>
      </c>
    </row>
    <row r="136" spans="1:8">
      <c r="A136">
        <v>52285.45</v>
      </c>
      <c r="B136">
        <v>3618</v>
      </c>
      <c r="C136">
        <v>95.6</v>
      </c>
      <c r="D136">
        <v>4.4000000000000004</v>
      </c>
      <c r="E136">
        <v>0</v>
      </c>
      <c r="F136">
        <v>0</v>
      </c>
      <c r="G136">
        <v>0</v>
      </c>
      <c r="H136">
        <v>593247.25</v>
      </c>
    </row>
    <row r="137" spans="1:8">
      <c r="A137">
        <v>70366.759999999995</v>
      </c>
      <c r="B137">
        <v>1963</v>
      </c>
      <c r="C137">
        <v>89.8</v>
      </c>
      <c r="D137">
        <v>4.5999999999999996</v>
      </c>
      <c r="E137">
        <v>0</v>
      </c>
      <c r="F137">
        <v>0</v>
      </c>
      <c r="G137">
        <v>0</v>
      </c>
      <c r="H137">
        <v>529075.94999999995</v>
      </c>
    </row>
    <row r="138" spans="1:8">
      <c r="A138">
        <v>71320.66</v>
      </c>
      <c r="B138">
        <v>7888</v>
      </c>
      <c r="C138">
        <v>78.099999999999994</v>
      </c>
      <c r="D138">
        <v>3.9</v>
      </c>
      <c r="E138">
        <v>0</v>
      </c>
      <c r="F138">
        <v>1</v>
      </c>
      <c r="G138">
        <v>0</v>
      </c>
      <c r="H138">
        <v>633638.03</v>
      </c>
    </row>
    <row r="139" spans="1:8">
      <c r="A139">
        <v>75109.67</v>
      </c>
      <c r="B139">
        <v>6244</v>
      </c>
      <c r="C139">
        <v>96.3</v>
      </c>
      <c r="D139">
        <v>3.7</v>
      </c>
      <c r="E139">
        <v>0</v>
      </c>
      <c r="F139">
        <v>1</v>
      </c>
      <c r="G139">
        <v>0</v>
      </c>
      <c r="H139">
        <v>743348.84</v>
      </c>
    </row>
    <row r="140" spans="1:8">
      <c r="A140">
        <v>69779</v>
      </c>
      <c r="B140">
        <v>6544</v>
      </c>
      <c r="C140">
        <v>90.2</v>
      </c>
      <c r="D140">
        <v>3.3</v>
      </c>
      <c r="E140">
        <v>0</v>
      </c>
      <c r="F140">
        <v>1</v>
      </c>
      <c r="G140">
        <v>0</v>
      </c>
      <c r="H140">
        <v>758827.64</v>
      </c>
    </row>
    <row r="141" spans="1:8">
      <c r="A141">
        <v>44211.95</v>
      </c>
      <c r="B141">
        <v>5465</v>
      </c>
      <c r="C141">
        <v>90</v>
      </c>
      <c r="D141">
        <v>3.6</v>
      </c>
      <c r="E141">
        <v>0</v>
      </c>
      <c r="F141">
        <v>1</v>
      </c>
      <c r="G141">
        <v>0</v>
      </c>
      <c r="H141">
        <v>646559.71</v>
      </c>
    </row>
    <row r="142" spans="1:8">
      <c r="A142">
        <v>51430.31</v>
      </c>
      <c r="B142">
        <v>6427</v>
      </c>
      <c r="C142">
        <v>88.8</v>
      </c>
      <c r="D142">
        <v>4.0999999999999996</v>
      </c>
      <c r="E142">
        <v>0</v>
      </c>
      <c r="F142">
        <v>0</v>
      </c>
      <c r="G142">
        <v>1</v>
      </c>
      <c r="H142">
        <v>715890.53</v>
      </c>
    </row>
    <row r="143" spans="1:8">
      <c r="A143">
        <v>45706.49</v>
      </c>
      <c r="B143">
        <v>6704</v>
      </c>
      <c r="C143">
        <v>94.2</v>
      </c>
      <c r="D143">
        <v>4.2</v>
      </c>
      <c r="E143">
        <v>0</v>
      </c>
      <c r="F143">
        <v>0</v>
      </c>
      <c r="G143">
        <v>1</v>
      </c>
      <c r="H143">
        <v>715097.57</v>
      </c>
    </row>
    <row r="144" spans="1:8">
      <c r="A144">
        <v>44034.6</v>
      </c>
      <c r="B144">
        <v>5645</v>
      </c>
      <c r="C144">
        <v>88.5</v>
      </c>
      <c r="D144">
        <v>3.8</v>
      </c>
      <c r="E144">
        <v>0</v>
      </c>
      <c r="F144">
        <v>0</v>
      </c>
      <c r="G144">
        <v>1</v>
      </c>
      <c r="H144">
        <v>682639.28</v>
      </c>
    </row>
    <row r="145" spans="1:8">
      <c r="A145">
        <v>50198.12</v>
      </c>
      <c r="B145">
        <v>6089</v>
      </c>
      <c r="C145">
        <v>94</v>
      </c>
      <c r="D145">
        <v>3.9</v>
      </c>
      <c r="E145">
        <v>0</v>
      </c>
      <c r="F145">
        <v>0</v>
      </c>
      <c r="G145">
        <v>1</v>
      </c>
      <c r="H145">
        <v>695098.51</v>
      </c>
    </row>
    <row r="146" spans="1:8">
      <c r="A146">
        <v>70488.2</v>
      </c>
      <c r="B146">
        <v>4312</v>
      </c>
      <c r="C146">
        <v>90.2</v>
      </c>
      <c r="D146">
        <v>3.2</v>
      </c>
      <c r="E146">
        <v>0</v>
      </c>
      <c r="F146">
        <v>0</v>
      </c>
      <c r="G146">
        <v>0</v>
      </c>
      <c r="H146">
        <v>577732.56999999995</v>
      </c>
    </row>
    <row r="147" spans="1:8">
      <c r="A147">
        <v>50909.27</v>
      </c>
      <c r="B147">
        <v>3152</v>
      </c>
      <c r="C147">
        <v>93.7</v>
      </c>
      <c r="D147">
        <v>3.5</v>
      </c>
      <c r="E147">
        <v>0</v>
      </c>
      <c r="F147">
        <v>0</v>
      </c>
      <c r="G147">
        <v>0</v>
      </c>
      <c r="H147">
        <v>537058.32999999996</v>
      </c>
    </row>
    <row r="148" spans="1:8">
      <c r="A148">
        <v>53351.7</v>
      </c>
      <c r="B148">
        <v>4259</v>
      </c>
      <c r="C148">
        <v>93.7</v>
      </c>
      <c r="D148">
        <v>3.4</v>
      </c>
      <c r="E148">
        <v>0</v>
      </c>
      <c r="F148">
        <v>0</v>
      </c>
      <c r="G148">
        <v>0</v>
      </c>
      <c r="H148">
        <v>601568.87</v>
      </c>
    </row>
    <row r="149" spans="1:8">
      <c r="A149">
        <v>60322.400000000001</v>
      </c>
      <c r="B149">
        <v>3350</v>
      </c>
      <c r="C149">
        <v>89.4</v>
      </c>
      <c r="D149">
        <v>3.4</v>
      </c>
      <c r="E149">
        <v>0</v>
      </c>
      <c r="F149">
        <v>0</v>
      </c>
      <c r="G149">
        <v>0</v>
      </c>
      <c r="H149">
        <v>570964.84</v>
      </c>
    </row>
    <row r="150" spans="1:8">
      <c r="A150">
        <v>51575.68</v>
      </c>
      <c r="B150">
        <v>5329</v>
      </c>
      <c r="C150">
        <v>88.1</v>
      </c>
      <c r="D150">
        <v>3.8</v>
      </c>
      <c r="E150">
        <v>0</v>
      </c>
      <c r="F150">
        <v>1</v>
      </c>
      <c r="G150">
        <v>0</v>
      </c>
      <c r="H150">
        <v>614024.91</v>
      </c>
    </row>
    <row r="151" spans="1:8">
      <c r="A151">
        <v>43319.94</v>
      </c>
      <c r="B151">
        <v>6551</v>
      </c>
      <c r="C151">
        <v>99</v>
      </c>
      <c r="D151">
        <v>4.0999999999999996</v>
      </c>
      <c r="E151">
        <v>0</v>
      </c>
      <c r="F151">
        <v>1</v>
      </c>
      <c r="G151">
        <v>0</v>
      </c>
      <c r="H151">
        <v>712868.35</v>
      </c>
    </row>
    <row r="152" spans="1:8">
      <c r="A152">
        <v>47093.55</v>
      </c>
      <c r="B152">
        <v>5550</v>
      </c>
      <c r="C152">
        <v>95</v>
      </c>
      <c r="D152">
        <v>3.7</v>
      </c>
      <c r="E152">
        <v>0</v>
      </c>
      <c r="F152">
        <v>1</v>
      </c>
      <c r="G152">
        <v>0</v>
      </c>
      <c r="H152">
        <v>696744.15</v>
      </c>
    </row>
    <row r="153" spans="1:8">
      <c r="A153">
        <v>71855.09</v>
      </c>
      <c r="B153">
        <v>5911</v>
      </c>
      <c r="C153">
        <v>94.3</v>
      </c>
      <c r="D153">
        <v>4.0999999999999996</v>
      </c>
      <c r="E153">
        <v>0</v>
      </c>
      <c r="F153">
        <v>1</v>
      </c>
      <c r="G153">
        <v>0</v>
      </c>
      <c r="H153">
        <v>725847.99</v>
      </c>
    </row>
    <row r="154" spans="1:8">
      <c r="A154">
        <v>75645.23</v>
      </c>
      <c r="B154">
        <v>9674</v>
      </c>
      <c r="C154">
        <v>87.4</v>
      </c>
      <c r="D154">
        <v>4.5</v>
      </c>
      <c r="E154">
        <v>1</v>
      </c>
      <c r="F154">
        <v>0</v>
      </c>
      <c r="G154">
        <v>0</v>
      </c>
      <c r="H154">
        <v>785028.25</v>
      </c>
    </row>
    <row r="155" spans="1:8">
      <c r="A155">
        <v>64374.75</v>
      </c>
      <c r="B155">
        <v>6740</v>
      </c>
      <c r="C155">
        <v>87</v>
      </c>
      <c r="D155">
        <v>4.2</v>
      </c>
      <c r="E155">
        <v>1</v>
      </c>
      <c r="F155">
        <v>0</v>
      </c>
      <c r="G155">
        <v>0</v>
      </c>
      <c r="H155">
        <v>698492.67</v>
      </c>
    </row>
    <row r="156" spans="1:8">
      <c r="A156">
        <v>61433.84</v>
      </c>
      <c r="B156">
        <v>7745</v>
      </c>
      <c r="C156">
        <v>90.5</v>
      </c>
      <c r="D156">
        <v>4.2</v>
      </c>
      <c r="E156">
        <v>1</v>
      </c>
      <c r="F156">
        <v>0</v>
      </c>
      <c r="G156">
        <v>0</v>
      </c>
      <c r="H156">
        <v>685830.24</v>
      </c>
    </row>
    <row r="157" spans="1:8">
      <c r="A157">
        <v>42698.14</v>
      </c>
      <c r="B157">
        <v>7693</v>
      </c>
      <c r="C157">
        <v>90.1</v>
      </c>
      <c r="D157">
        <v>4.4000000000000004</v>
      </c>
      <c r="E157">
        <v>1</v>
      </c>
      <c r="F157">
        <v>0</v>
      </c>
      <c r="G157">
        <v>0</v>
      </c>
      <c r="H157">
        <v>702318.94</v>
      </c>
    </row>
    <row r="158" spans="1:8">
      <c r="A158">
        <v>86883.31</v>
      </c>
      <c r="B158">
        <v>6424</v>
      </c>
      <c r="C158">
        <v>85.2</v>
      </c>
      <c r="D158">
        <v>3.9</v>
      </c>
      <c r="E158">
        <v>0</v>
      </c>
      <c r="F158">
        <v>0</v>
      </c>
      <c r="G158">
        <v>0</v>
      </c>
      <c r="H158">
        <v>700078.32</v>
      </c>
    </row>
    <row r="159" spans="1:8">
      <c r="A159">
        <v>41863.08</v>
      </c>
      <c r="B159">
        <v>5400</v>
      </c>
      <c r="C159">
        <v>91.6</v>
      </c>
      <c r="D159">
        <v>3</v>
      </c>
      <c r="E159">
        <v>0</v>
      </c>
      <c r="F159">
        <v>0</v>
      </c>
      <c r="G159">
        <v>0</v>
      </c>
      <c r="H159">
        <v>602002.31999999995</v>
      </c>
    </row>
    <row r="160" spans="1:8">
      <c r="A160">
        <v>56918.16</v>
      </c>
      <c r="B160">
        <v>7015</v>
      </c>
      <c r="C160">
        <v>74.2</v>
      </c>
      <c r="D160">
        <v>3.4</v>
      </c>
      <c r="E160">
        <v>0</v>
      </c>
      <c r="F160">
        <v>0</v>
      </c>
      <c r="G160">
        <v>0</v>
      </c>
      <c r="H160">
        <v>724216.07</v>
      </c>
    </row>
    <row r="161" spans="1:8">
      <c r="A161">
        <v>23254.57</v>
      </c>
      <c r="B161">
        <v>3847</v>
      </c>
      <c r="C161">
        <v>93</v>
      </c>
      <c r="D161">
        <v>3.3</v>
      </c>
      <c r="E161">
        <v>0</v>
      </c>
      <c r="F161">
        <v>0</v>
      </c>
      <c r="G161">
        <v>0</v>
      </c>
      <c r="H161">
        <v>620973.03</v>
      </c>
    </row>
    <row r="162" spans="1:8">
      <c r="A162">
        <v>41443.410000000003</v>
      </c>
      <c r="B162">
        <v>7455</v>
      </c>
      <c r="C162">
        <v>90.1</v>
      </c>
      <c r="D162">
        <v>4</v>
      </c>
      <c r="E162">
        <v>0</v>
      </c>
      <c r="F162">
        <v>1</v>
      </c>
      <c r="G162">
        <v>0</v>
      </c>
      <c r="H162">
        <v>650480.06000000006</v>
      </c>
    </row>
    <row r="163" spans="1:8">
      <c r="A163">
        <v>48438.85</v>
      </c>
      <c r="B163">
        <v>6992</v>
      </c>
      <c r="C163">
        <v>91</v>
      </c>
      <c r="D163">
        <v>4.2</v>
      </c>
      <c r="E163">
        <v>0</v>
      </c>
      <c r="F163">
        <v>1</v>
      </c>
      <c r="G163">
        <v>0</v>
      </c>
      <c r="H163">
        <v>778298.88</v>
      </c>
    </row>
    <row r="164" spans="1:8">
      <c r="A164">
        <v>57143.3</v>
      </c>
      <c r="B164">
        <v>8038</v>
      </c>
      <c r="C164">
        <v>72.599999999999994</v>
      </c>
      <c r="D164">
        <v>4.2</v>
      </c>
      <c r="E164">
        <v>0</v>
      </c>
      <c r="F164">
        <v>1</v>
      </c>
      <c r="G164">
        <v>0</v>
      </c>
      <c r="H164">
        <v>677096.71</v>
      </c>
    </row>
    <row r="165" spans="1:8">
      <c r="A165">
        <v>66870.62</v>
      </c>
      <c r="B165">
        <v>6055</v>
      </c>
      <c r="C165">
        <v>93.8</v>
      </c>
      <c r="D165">
        <v>4.3</v>
      </c>
      <c r="E165">
        <v>0</v>
      </c>
      <c r="F165">
        <v>1</v>
      </c>
      <c r="G165">
        <v>0</v>
      </c>
      <c r="H165">
        <v>692008.64</v>
      </c>
    </row>
    <row r="166" spans="1:8">
      <c r="A166">
        <v>72150.53</v>
      </c>
      <c r="B166">
        <v>9323</v>
      </c>
      <c r="C166">
        <v>82.9</v>
      </c>
      <c r="D166">
        <v>4.3</v>
      </c>
      <c r="E166">
        <v>0</v>
      </c>
      <c r="F166">
        <v>0</v>
      </c>
      <c r="G166">
        <v>0</v>
      </c>
      <c r="H166">
        <v>825797.91</v>
      </c>
    </row>
    <row r="167" spans="1:8">
      <c r="A167">
        <v>35303.300000000003</v>
      </c>
      <c r="B167">
        <v>8789</v>
      </c>
      <c r="C167">
        <v>86.1</v>
      </c>
      <c r="D167">
        <v>4.2</v>
      </c>
      <c r="E167">
        <v>0</v>
      </c>
      <c r="F167">
        <v>0</v>
      </c>
      <c r="G167">
        <v>0</v>
      </c>
      <c r="H167">
        <v>706285.52</v>
      </c>
    </row>
    <row r="168" spans="1:8">
      <c r="A168">
        <v>30301.86</v>
      </c>
      <c r="B168">
        <v>6939</v>
      </c>
      <c r="C168">
        <v>90.3</v>
      </c>
      <c r="D168">
        <v>4</v>
      </c>
      <c r="E168">
        <v>0</v>
      </c>
      <c r="F168">
        <v>0</v>
      </c>
      <c r="G168">
        <v>0</v>
      </c>
      <c r="H168">
        <v>665534.69999999995</v>
      </c>
    </row>
    <row r="169" spans="1:8">
      <c r="A169">
        <v>78432.14</v>
      </c>
      <c r="B169">
        <v>9440</v>
      </c>
      <c r="C169">
        <v>89.2</v>
      </c>
      <c r="D169">
        <v>4.0999999999999996</v>
      </c>
      <c r="E169">
        <v>0</v>
      </c>
      <c r="F169">
        <v>0</v>
      </c>
      <c r="G169">
        <v>0</v>
      </c>
      <c r="H169">
        <v>820729.29</v>
      </c>
    </row>
    <row r="170" spans="1:8">
      <c r="A170">
        <v>62059.18</v>
      </c>
      <c r="B170">
        <v>9374</v>
      </c>
      <c r="C170">
        <v>87.1</v>
      </c>
      <c r="D170">
        <v>4.9000000000000004</v>
      </c>
      <c r="E170">
        <v>1</v>
      </c>
      <c r="F170">
        <v>0</v>
      </c>
      <c r="G170">
        <v>0</v>
      </c>
      <c r="H170">
        <v>739831.73</v>
      </c>
    </row>
    <row r="171" spans="1:8">
      <c r="A171">
        <v>32834.480000000003</v>
      </c>
      <c r="B171">
        <v>7576</v>
      </c>
      <c r="C171">
        <v>84.1</v>
      </c>
      <c r="D171">
        <v>5</v>
      </c>
      <c r="E171">
        <v>1</v>
      </c>
      <c r="F171">
        <v>0</v>
      </c>
      <c r="G171">
        <v>0</v>
      </c>
      <c r="H171">
        <v>593637.14</v>
      </c>
    </row>
    <row r="172" spans="1:8">
      <c r="A172">
        <v>50825.08</v>
      </c>
      <c r="B172">
        <v>8949</v>
      </c>
      <c r="C172">
        <v>84.7</v>
      </c>
      <c r="D172">
        <v>4.9000000000000004</v>
      </c>
      <c r="E172">
        <v>1</v>
      </c>
      <c r="F172">
        <v>0</v>
      </c>
      <c r="G172">
        <v>0</v>
      </c>
      <c r="H172">
        <v>769702.76</v>
      </c>
    </row>
    <row r="173" spans="1:8">
      <c r="A173">
        <v>36606.51</v>
      </c>
      <c r="B173">
        <v>7671</v>
      </c>
      <c r="C173">
        <v>89.8</v>
      </c>
      <c r="D173">
        <v>4.4000000000000004</v>
      </c>
      <c r="E173">
        <v>1</v>
      </c>
      <c r="F173">
        <v>0</v>
      </c>
      <c r="G173">
        <v>0</v>
      </c>
      <c r="H173">
        <v>679731.57</v>
      </c>
    </row>
    <row r="174" spans="1:8">
      <c r="A174">
        <v>65237.79</v>
      </c>
      <c r="B174">
        <v>8741</v>
      </c>
      <c r="C174">
        <v>94.4</v>
      </c>
      <c r="D174">
        <v>3.3</v>
      </c>
      <c r="E174">
        <v>1</v>
      </c>
      <c r="F174">
        <v>0</v>
      </c>
      <c r="G174">
        <v>0</v>
      </c>
      <c r="H174">
        <v>780344.18</v>
      </c>
    </row>
    <row r="175" spans="1:8">
      <c r="A175">
        <v>43645.98</v>
      </c>
      <c r="B175">
        <v>9480</v>
      </c>
      <c r="C175">
        <v>89</v>
      </c>
      <c r="D175">
        <v>3.1</v>
      </c>
      <c r="E175">
        <v>1</v>
      </c>
      <c r="F175">
        <v>0</v>
      </c>
      <c r="G175">
        <v>0</v>
      </c>
      <c r="H175">
        <v>721364.11</v>
      </c>
    </row>
    <row r="176" spans="1:8">
      <c r="A176">
        <v>68040.149999999994</v>
      </c>
      <c r="B176">
        <v>9826</v>
      </c>
      <c r="C176">
        <v>83.9</v>
      </c>
      <c r="D176">
        <v>3.6</v>
      </c>
      <c r="E176">
        <v>1</v>
      </c>
      <c r="F176">
        <v>0</v>
      </c>
      <c r="G176">
        <v>0</v>
      </c>
      <c r="H176">
        <v>758138.29</v>
      </c>
    </row>
    <row r="177" spans="1:8">
      <c r="A177">
        <v>63043.94</v>
      </c>
      <c r="B177">
        <v>10402</v>
      </c>
      <c r="C177">
        <v>93.9</v>
      </c>
      <c r="D177">
        <v>3.1</v>
      </c>
      <c r="E177">
        <v>1</v>
      </c>
      <c r="F177">
        <v>0</v>
      </c>
      <c r="G177">
        <v>0</v>
      </c>
      <c r="H177">
        <v>804264</v>
      </c>
    </row>
    <row r="178" spans="1:8">
      <c r="A178">
        <v>67494.09</v>
      </c>
      <c r="B178">
        <v>12361</v>
      </c>
      <c r="C178">
        <v>76.599999999999994</v>
      </c>
      <c r="D178">
        <v>3.7</v>
      </c>
      <c r="E178">
        <v>0</v>
      </c>
      <c r="F178">
        <v>0</v>
      </c>
      <c r="G178">
        <v>1</v>
      </c>
      <c r="H178">
        <v>887537.75</v>
      </c>
    </row>
    <row r="179" spans="1:8">
      <c r="A179">
        <v>29389.32</v>
      </c>
      <c r="B179">
        <v>7925</v>
      </c>
      <c r="C179">
        <v>90.9</v>
      </c>
      <c r="D179">
        <v>4</v>
      </c>
      <c r="E179">
        <v>0</v>
      </c>
      <c r="F179">
        <v>0</v>
      </c>
      <c r="G179">
        <v>1</v>
      </c>
      <c r="H179">
        <v>783582</v>
      </c>
    </row>
    <row r="180" spans="1:8">
      <c r="A180">
        <v>40535.089999999997</v>
      </c>
      <c r="B180">
        <v>8870</v>
      </c>
      <c r="C180">
        <v>86.6</v>
      </c>
      <c r="D180">
        <v>4.0999999999999996</v>
      </c>
      <c r="E180">
        <v>0</v>
      </c>
      <c r="F180">
        <v>0</v>
      </c>
      <c r="G180">
        <v>1</v>
      </c>
      <c r="H180">
        <v>781955.52</v>
      </c>
    </row>
    <row r="181" spans="1:8">
      <c r="A181">
        <v>74881.56</v>
      </c>
      <c r="B181">
        <v>9999</v>
      </c>
      <c r="C181">
        <v>89.6</v>
      </c>
      <c r="D181">
        <v>4.0999999999999996</v>
      </c>
      <c r="E181">
        <v>0</v>
      </c>
      <c r="F181">
        <v>0</v>
      </c>
      <c r="G181">
        <v>1</v>
      </c>
      <c r="H181">
        <v>898031.04</v>
      </c>
    </row>
    <row r="182" spans="1:8">
      <c r="A182">
        <v>68491.11</v>
      </c>
      <c r="B182">
        <v>11154</v>
      </c>
      <c r="C182">
        <v>89.4</v>
      </c>
      <c r="D182">
        <v>3.9</v>
      </c>
      <c r="E182">
        <v>0</v>
      </c>
      <c r="F182">
        <v>0</v>
      </c>
      <c r="G182">
        <v>1</v>
      </c>
      <c r="H182">
        <v>855341.28</v>
      </c>
    </row>
    <row r="183" spans="1:8">
      <c r="A183">
        <v>45209.25</v>
      </c>
      <c r="B183">
        <v>9287</v>
      </c>
      <c r="C183">
        <v>86.4</v>
      </c>
      <c r="D183">
        <v>3.6</v>
      </c>
      <c r="E183">
        <v>0</v>
      </c>
      <c r="F183">
        <v>0</v>
      </c>
      <c r="G183">
        <v>1</v>
      </c>
      <c r="H183">
        <v>751393.88</v>
      </c>
    </row>
    <row r="184" spans="1:8">
      <c r="A184">
        <v>63010.23</v>
      </c>
      <c r="B184">
        <v>9812</v>
      </c>
      <c r="C184">
        <v>76.8</v>
      </c>
      <c r="D184">
        <v>3.8</v>
      </c>
      <c r="E184">
        <v>0</v>
      </c>
      <c r="F184">
        <v>0</v>
      </c>
      <c r="G184">
        <v>1</v>
      </c>
      <c r="H184">
        <v>761077.08</v>
      </c>
    </row>
    <row r="185" spans="1:8">
      <c r="A185">
        <v>57948.88</v>
      </c>
      <c r="B185">
        <v>10741</v>
      </c>
      <c r="C185">
        <v>90.1</v>
      </c>
      <c r="D185">
        <v>3.1</v>
      </c>
      <c r="E185">
        <v>0</v>
      </c>
      <c r="F185">
        <v>0</v>
      </c>
      <c r="G185">
        <v>1</v>
      </c>
      <c r="H185">
        <v>819660.59</v>
      </c>
    </row>
    <row r="186" spans="1:8">
      <c r="A186">
        <v>71941.62</v>
      </c>
      <c r="B186">
        <v>6084</v>
      </c>
      <c r="C186">
        <v>93.7</v>
      </c>
      <c r="D186">
        <v>4.4000000000000004</v>
      </c>
      <c r="E186">
        <v>0</v>
      </c>
      <c r="F186">
        <v>0</v>
      </c>
      <c r="G186">
        <v>0</v>
      </c>
      <c r="H186">
        <v>681855.56</v>
      </c>
    </row>
    <row r="187" spans="1:8">
      <c r="A187">
        <v>57147.88</v>
      </c>
      <c r="B187">
        <v>5252</v>
      </c>
      <c r="C187">
        <v>95.5</v>
      </c>
      <c r="D187">
        <v>4.4000000000000004</v>
      </c>
      <c r="E187">
        <v>0</v>
      </c>
      <c r="F187">
        <v>0</v>
      </c>
      <c r="G187">
        <v>0</v>
      </c>
      <c r="H187">
        <v>678311.17</v>
      </c>
    </row>
    <row r="188" spans="1:8">
      <c r="A188">
        <v>48031.74</v>
      </c>
      <c r="B188">
        <v>6516</v>
      </c>
      <c r="C188">
        <v>99</v>
      </c>
      <c r="D188">
        <v>4.3</v>
      </c>
      <c r="E188">
        <v>0</v>
      </c>
      <c r="F188">
        <v>0</v>
      </c>
      <c r="G188">
        <v>0</v>
      </c>
      <c r="H188">
        <v>765906.95</v>
      </c>
    </row>
    <row r="189" spans="1:8">
      <c r="A189">
        <v>72784.800000000003</v>
      </c>
      <c r="B189">
        <v>7932</v>
      </c>
      <c r="C189">
        <v>74.900000000000006</v>
      </c>
      <c r="D189">
        <v>4.2</v>
      </c>
      <c r="E189">
        <v>0</v>
      </c>
      <c r="F189">
        <v>0</v>
      </c>
      <c r="G189">
        <v>0</v>
      </c>
      <c r="H189">
        <v>712546.38</v>
      </c>
    </row>
    <row r="190" spans="1:8">
      <c r="A190">
        <v>71641.899999999994</v>
      </c>
      <c r="B190">
        <v>3506</v>
      </c>
      <c r="C190">
        <v>86.4</v>
      </c>
      <c r="D190">
        <v>4.0999999999999996</v>
      </c>
      <c r="E190">
        <v>1</v>
      </c>
      <c r="F190">
        <v>0</v>
      </c>
      <c r="G190">
        <v>0</v>
      </c>
      <c r="H190">
        <v>625993.82999999996</v>
      </c>
    </row>
    <row r="191" spans="1:8">
      <c r="A191">
        <v>55788.61</v>
      </c>
      <c r="B191">
        <v>2312</v>
      </c>
      <c r="C191">
        <v>91.3</v>
      </c>
      <c r="D191">
        <v>3.8</v>
      </c>
      <c r="E191">
        <v>1</v>
      </c>
      <c r="F191">
        <v>0</v>
      </c>
      <c r="G191">
        <v>0</v>
      </c>
      <c r="H191">
        <v>550962.93000000005</v>
      </c>
    </row>
    <row r="192" spans="1:8">
      <c r="A192">
        <v>37705.879999999997</v>
      </c>
      <c r="B192">
        <v>1268</v>
      </c>
      <c r="C192">
        <v>84.1</v>
      </c>
      <c r="D192">
        <v>3.8</v>
      </c>
      <c r="E192">
        <v>1</v>
      </c>
      <c r="F192">
        <v>0</v>
      </c>
      <c r="G192">
        <v>0</v>
      </c>
      <c r="H192">
        <v>443275.59</v>
      </c>
    </row>
    <row r="193" spans="1:8">
      <c r="A193">
        <v>54966.18</v>
      </c>
      <c r="B193">
        <v>4423</v>
      </c>
      <c r="C193">
        <v>88.7</v>
      </c>
      <c r="D193">
        <v>4.4000000000000004</v>
      </c>
      <c r="E193">
        <v>1</v>
      </c>
      <c r="F193">
        <v>0</v>
      </c>
      <c r="G193">
        <v>0</v>
      </c>
      <c r="H193">
        <v>554012.06999999995</v>
      </c>
    </row>
    <row r="194" spans="1:8">
      <c r="A194">
        <v>81796.740000000005</v>
      </c>
      <c r="B194">
        <v>6177</v>
      </c>
      <c r="C194">
        <v>87.9</v>
      </c>
      <c r="D194">
        <v>3.2</v>
      </c>
      <c r="E194">
        <v>0</v>
      </c>
      <c r="F194">
        <v>0</v>
      </c>
      <c r="G194">
        <v>1</v>
      </c>
      <c r="H194">
        <v>643428.85</v>
      </c>
    </row>
    <row r="195" spans="1:8">
      <c r="A195">
        <v>51133.43</v>
      </c>
      <c r="B195">
        <v>5150</v>
      </c>
      <c r="C195">
        <v>88.5</v>
      </c>
      <c r="D195">
        <v>3.2</v>
      </c>
      <c r="E195">
        <v>0</v>
      </c>
      <c r="F195">
        <v>0</v>
      </c>
      <c r="G195">
        <v>1</v>
      </c>
      <c r="H195">
        <v>611924.27</v>
      </c>
    </row>
    <row r="196" spans="1:8">
      <c r="A196">
        <v>40220.18</v>
      </c>
      <c r="B196">
        <v>3783</v>
      </c>
      <c r="C196">
        <v>86.6</v>
      </c>
      <c r="D196">
        <v>3.7</v>
      </c>
      <c r="E196">
        <v>0</v>
      </c>
      <c r="F196">
        <v>0</v>
      </c>
      <c r="G196">
        <v>1</v>
      </c>
      <c r="H196">
        <v>559422.02</v>
      </c>
    </row>
    <row r="197" spans="1:8">
      <c r="A197">
        <v>41657.64</v>
      </c>
      <c r="B197">
        <v>3135</v>
      </c>
      <c r="C197">
        <v>85.4</v>
      </c>
      <c r="D197">
        <v>3.9</v>
      </c>
      <c r="E197">
        <v>0</v>
      </c>
      <c r="F197">
        <v>0</v>
      </c>
      <c r="G197">
        <v>1</v>
      </c>
      <c r="H197">
        <v>449465.06</v>
      </c>
    </row>
    <row r="198" spans="1:8">
      <c r="A198">
        <v>71851.45</v>
      </c>
      <c r="B198">
        <v>4970</v>
      </c>
      <c r="C198">
        <v>89.6</v>
      </c>
      <c r="D198">
        <v>4.2</v>
      </c>
      <c r="E198">
        <v>0</v>
      </c>
      <c r="F198">
        <v>0</v>
      </c>
      <c r="G198">
        <v>0</v>
      </c>
      <c r="H198">
        <v>691447.43</v>
      </c>
    </row>
    <row r="199" spans="1:8">
      <c r="A199">
        <v>54002.83</v>
      </c>
      <c r="B199">
        <v>4366</v>
      </c>
      <c r="C199">
        <v>90.6</v>
      </c>
      <c r="D199">
        <v>4.5999999999999996</v>
      </c>
      <c r="E199">
        <v>0</v>
      </c>
      <c r="F199">
        <v>0</v>
      </c>
      <c r="G199">
        <v>0</v>
      </c>
      <c r="H199">
        <v>574066.61</v>
      </c>
    </row>
    <row r="200" spans="1:8">
      <c r="A200">
        <v>54479.33</v>
      </c>
      <c r="B200">
        <v>5012</v>
      </c>
      <c r="C200">
        <v>86</v>
      </c>
      <c r="D200">
        <v>4.3</v>
      </c>
      <c r="E200">
        <v>0</v>
      </c>
      <c r="F200">
        <v>0</v>
      </c>
      <c r="G200">
        <v>0</v>
      </c>
      <c r="H200">
        <v>578949.84</v>
      </c>
    </row>
    <row r="201" spans="1:8">
      <c r="A201">
        <v>61391.8</v>
      </c>
      <c r="B201">
        <v>5575</v>
      </c>
      <c r="C201">
        <v>90</v>
      </c>
      <c r="D201">
        <v>4.8</v>
      </c>
      <c r="E201">
        <v>0</v>
      </c>
      <c r="F201">
        <v>0</v>
      </c>
      <c r="G201">
        <v>0</v>
      </c>
      <c r="H201">
        <v>735786.64</v>
      </c>
    </row>
    <row r="202" spans="1:8">
      <c r="A202">
        <v>22312.93</v>
      </c>
      <c r="B202">
        <v>5955</v>
      </c>
      <c r="C202">
        <v>84.2</v>
      </c>
      <c r="D202">
        <v>4.5999999999999996</v>
      </c>
      <c r="E202">
        <v>1</v>
      </c>
      <c r="F202">
        <v>0</v>
      </c>
      <c r="G202">
        <v>0</v>
      </c>
      <c r="H202">
        <v>598904.9</v>
      </c>
    </row>
    <row r="203" spans="1:8">
      <c r="A203">
        <v>78111.97</v>
      </c>
      <c r="B203">
        <v>6389</v>
      </c>
      <c r="C203">
        <v>83.9</v>
      </c>
      <c r="D203">
        <v>4.8</v>
      </c>
      <c r="E203">
        <v>1</v>
      </c>
      <c r="F203">
        <v>0</v>
      </c>
      <c r="G203">
        <v>0</v>
      </c>
      <c r="H203">
        <v>787715.51</v>
      </c>
    </row>
    <row r="204" spans="1:8">
      <c r="A204">
        <v>35203.230000000003</v>
      </c>
      <c r="B204">
        <v>6896</v>
      </c>
      <c r="C204">
        <v>80.8</v>
      </c>
      <c r="D204">
        <v>5</v>
      </c>
      <c r="E204">
        <v>1</v>
      </c>
      <c r="F204">
        <v>0</v>
      </c>
      <c r="G204">
        <v>0</v>
      </c>
      <c r="H204">
        <v>607084.92000000004</v>
      </c>
    </row>
    <row r="205" spans="1:8">
      <c r="A205">
        <v>64104.28</v>
      </c>
      <c r="B205">
        <v>6015</v>
      </c>
      <c r="C205">
        <v>88.7</v>
      </c>
      <c r="D205">
        <v>4</v>
      </c>
      <c r="E205">
        <v>1</v>
      </c>
      <c r="F205">
        <v>0</v>
      </c>
      <c r="G205">
        <v>0</v>
      </c>
      <c r="H205">
        <v>650795.49</v>
      </c>
    </row>
    <row r="206" spans="1:8">
      <c r="A206">
        <v>92090.14</v>
      </c>
      <c r="B206">
        <v>9476</v>
      </c>
      <c r="C206">
        <v>94.3</v>
      </c>
      <c r="D206">
        <v>3.7</v>
      </c>
      <c r="E206">
        <v>1</v>
      </c>
      <c r="F206">
        <v>0</v>
      </c>
      <c r="G206">
        <v>0</v>
      </c>
      <c r="H206">
        <v>825060.52</v>
      </c>
    </row>
    <row r="207" spans="1:8">
      <c r="A207">
        <v>54300.87</v>
      </c>
      <c r="B207">
        <v>7875</v>
      </c>
      <c r="C207">
        <v>94.1</v>
      </c>
      <c r="D207">
        <v>3.7</v>
      </c>
      <c r="E207">
        <v>1</v>
      </c>
      <c r="F207">
        <v>0</v>
      </c>
      <c r="G207">
        <v>0</v>
      </c>
      <c r="H207">
        <v>795464.47</v>
      </c>
    </row>
    <row r="208" spans="1:8">
      <c r="A208">
        <v>37983.35</v>
      </c>
      <c r="B208">
        <v>9283</v>
      </c>
      <c r="C208">
        <v>83.2</v>
      </c>
      <c r="D208">
        <v>3.7</v>
      </c>
      <c r="E208">
        <v>1</v>
      </c>
      <c r="F208">
        <v>0</v>
      </c>
      <c r="G208">
        <v>0</v>
      </c>
      <c r="H208">
        <v>671868.59</v>
      </c>
    </row>
    <row r="209" spans="1:8">
      <c r="A209">
        <v>56413.83</v>
      </c>
      <c r="B209">
        <v>8303</v>
      </c>
      <c r="C209">
        <v>93.6</v>
      </c>
      <c r="D209">
        <v>3.7</v>
      </c>
      <c r="E209">
        <v>1</v>
      </c>
      <c r="F209">
        <v>0</v>
      </c>
      <c r="G209">
        <v>0</v>
      </c>
      <c r="H209">
        <v>675917.63</v>
      </c>
    </row>
    <row r="210" spans="1:8">
      <c r="A210">
        <v>63457.19</v>
      </c>
      <c r="B210">
        <v>10125</v>
      </c>
      <c r="C210">
        <v>87</v>
      </c>
      <c r="D210">
        <v>3.7</v>
      </c>
      <c r="E210">
        <v>1</v>
      </c>
      <c r="F210">
        <v>0</v>
      </c>
      <c r="G210">
        <v>0</v>
      </c>
      <c r="H210">
        <v>810446.53</v>
      </c>
    </row>
    <row r="211" spans="1:8">
      <c r="A211">
        <v>62949.7</v>
      </c>
      <c r="B211">
        <v>9458</v>
      </c>
      <c r="C211">
        <v>84.9</v>
      </c>
      <c r="D211">
        <v>3.3</v>
      </c>
      <c r="E211">
        <v>1</v>
      </c>
      <c r="F211">
        <v>0</v>
      </c>
      <c r="G211">
        <v>0</v>
      </c>
      <c r="H211">
        <v>691288.19</v>
      </c>
    </row>
    <row r="212" spans="1:8">
      <c r="A212">
        <v>107970.19</v>
      </c>
      <c r="B212">
        <v>12870</v>
      </c>
      <c r="C212">
        <v>91.7</v>
      </c>
      <c r="D212">
        <v>3.7</v>
      </c>
      <c r="E212">
        <v>1</v>
      </c>
      <c r="F212">
        <v>0</v>
      </c>
      <c r="G212">
        <v>0</v>
      </c>
      <c r="H212">
        <v>946833.54</v>
      </c>
    </row>
    <row r="213" spans="1:8">
      <c r="A213">
        <v>49405.75</v>
      </c>
      <c r="B213">
        <v>9752</v>
      </c>
      <c r="C213">
        <v>87</v>
      </c>
      <c r="D213">
        <v>4.0999999999999996</v>
      </c>
      <c r="E213">
        <v>1</v>
      </c>
      <c r="F213">
        <v>0</v>
      </c>
      <c r="G213">
        <v>0</v>
      </c>
      <c r="H213">
        <v>761963.23</v>
      </c>
    </row>
    <row r="214" spans="1:8">
      <c r="A214">
        <v>50887.46</v>
      </c>
      <c r="B214">
        <v>9505</v>
      </c>
      <c r="C214">
        <v>89.7</v>
      </c>
      <c r="D214">
        <v>4.3</v>
      </c>
      <c r="E214">
        <v>0</v>
      </c>
      <c r="F214">
        <v>0</v>
      </c>
      <c r="G214">
        <v>1</v>
      </c>
      <c r="H214">
        <v>812152.6</v>
      </c>
    </row>
    <row r="215" spans="1:8">
      <c r="A215">
        <v>41819.449999999997</v>
      </c>
      <c r="B215">
        <v>9412</v>
      </c>
      <c r="C215">
        <v>91</v>
      </c>
      <c r="D215">
        <v>4.2</v>
      </c>
      <c r="E215">
        <v>0</v>
      </c>
      <c r="F215">
        <v>0</v>
      </c>
      <c r="G215">
        <v>1</v>
      </c>
      <c r="H215">
        <v>804975.5</v>
      </c>
    </row>
    <row r="216" spans="1:8">
      <c r="A216">
        <v>35296.54</v>
      </c>
      <c r="B216">
        <v>9644</v>
      </c>
      <c r="C216">
        <v>88</v>
      </c>
      <c r="D216">
        <v>4.7</v>
      </c>
      <c r="E216">
        <v>0</v>
      </c>
      <c r="F216">
        <v>0</v>
      </c>
      <c r="G216">
        <v>1</v>
      </c>
      <c r="H216">
        <v>752321.72</v>
      </c>
    </row>
    <row r="217" spans="1:8">
      <c r="A217">
        <v>47391.09</v>
      </c>
      <c r="B217">
        <v>11224</v>
      </c>
      <c r="C217">
        <v>88.4</v>
      </c>
      <c r="D217">
        <v>4.9000000000000004</v>
      </c>
      <c r="E217">
        <v>0</v>
      </c>
      <c r="F217">
        <v>0</v>
      </c>
      <c r="G217">
        <v>1</v>
      </c>
      <c r="H217">
        <v>836908.24</v>
      </c>
    </row>
    <row r="218" spans="1:8">
      <c r="A218">
        <v>69180.539999999994</v>
      </c>
      <c r="B218">
        <v>5394</v>
      </c>
      <c r="C218">
        <v>82.9</v>
      </c>
      <c r="D218">
        <v>3.3</v>
      </c>
      <c r="E218">
        <v>0</v>
      </c>
      <c r="F218">
        <v>0</v>
      </c>
      <c r="G218">
        <v>0</v>
      </c>
      <c r="H218">
        <v>674289.1</v>
      </c>
    </row>
    <row r="219" spans="1:8">
      <c r="A219">
        <v>33987.33</v>
      </c>
      <c r="B219">
        <v>5014</v>
      </c>
      <c r="C219">
        <v>94.3</v>
      </c>
      <c r="D219">
        <v>3.9</v>
      </c>
      <c r="E219">
        <v>0</v>
      </c>
      <c r="F219">
        <v>0</v>
      </c>
      <c r="G219">
        <v>0</v>
      </c>
      <c r="H219">
        <v>622892.42000000004</v>
      </c>
    </row>
    <row r="220" spans="1:8">
      <c r="A220">
        <v>58785.33</v>
      </c>
      <c r="B220">
        <v>4467</v>
      </c>
      <c r="C220">
        <v>90.7</v>
      </c>
      <c r="D220">
        <v>3.7</v>
      </c>
      <c r="E220">
        <v>0</v>
      </c>
      <c r="F220">
        <v>0</v>
      </c>
      <c r="G220">
        <v>0</v>
      </c>
      <c r="H220">
        <v>673348.56</v>
      </c>
    </row>
    <row r="221" spans="1:8">
      <c r="A221">
        <v>16451.849999999999</v>
      </c>
      <c r="B221">
        <v>4678</v>
      </c>
      <c r="C221">
        <v>95.9</v>
      </c>
      <c r="D221">
        <v>3.9</v>
      </c>
      <c r="E221">
        <v>0</v>
      </c>
      <c r="F221">
        <v>0</v>
      </c>
      <c r="G221">
        <v>0</v>
      </c>
      <c r="H221">
        <v>606278.30000000005</v>
      </c>
    </row>
    <row r="222" spans="1:8">
      <c r="A222">
        <v>53367.73</v>
      </c>
      <c r="B222">
        <v>7291</v>
      </c>
      <c r="C222">
        <v>90.6</v>
      </c>
      <c r="D222">
        <v>3.8</v>
      </c>
      <c r="E222">
        <v>1</v>
      </c>
      <c r="F222">
        <v>0</v>
      </c>
      <c r="G222">
        <v>0</v>
      </c>
      <c r="H222">
        <v>712219.81</v>
      </c>
    </row>
    <row r="223" spans="1:8">
      <c r="A223">
        <v>27194.639999999999</v>
      </c>
      <c r="B223">
        <v>7404</v>
      </c>
      <c r="C223">
        <v>90.2</v>
      </c>
      <c r="D223">
        <v>3.4</v>
      </c>
      <c r="E223">
        <v>1</v>
      </c>
      <c r="F223">
        <v>0</v>
      </c>
      <c r="G223">
        <v>0</v>
      </c>
      <c r="H223">
        <v>672670.54</v>
      </c>
    </row>
    <row r="224" spans="1:8">
      <c r="A224">
        <v>66962.740000000005</v>
      </c>
      <c r="B224">
        <v>7880</v>
      </c>
      <c r="C224">
        <v>90.4</v>
      </c>
      <c r="D224">
        <v>3.3</v>
      </c>
      <c r="E224">
        <v>1</v>
      </c>
      <c r="F224">
        <v>0</v>
      </c>
      <c r="G224">
        <v>0</v>
      </c>
      <c r="H224">
        <v>732667.92</v>
      </c>
    </row>
    <row r="225" spans="1:8">
      <c r="A225">
        <v>73540.990000000005</v>
      </c>
      <c r="B225">
        <v>8773</v>
      </c>
      <c r="C225">
        <v>84.4</v>
      </c>
      <c r="D225">
        <v>3.6</v>
      </c>
      <c r="E225">
        <v>1</v>
      </c>
      <c r="F225">
        <v>0</v>
      </c>
      <c r="G225">
        <v>0</v>
      </c>
      <c r="H225">
        <v>723531.4</v>
      </c>
    </row>
    <row r="226" spans="1:8">
      <c r="A226">
        <v>68212.289999999994</v>
      </c>
      <c r="B226">
        <v>4713</v>
      </c>
      <c r="C226">
        <v>82.6</v>
      </c>
      <c r="D226">
        <v>3</v>
      </c>
      <c r="E226">
        <v>1</v>
      </c>
      <c r="F226">
        <v>0</v>
      </c>
      <c r="G226">
        <v>0</v>
      </c>
      <c r="H226">
        <v>641564.6</v>
      </c>
    </row>
    <row r="227" spans="1:8">
      <c r="A227">
        <v>57225.98</v>
      </c>
      <c r="B227">
        <v>2842</v>
      </c>
      <c r="C227">
        <v>79.5</v>
      </c>
      <c r="D227">
        <v>3.4</v>
      </c>
      <c r="E227">
        <v>1</v>
      </c>
      <c r="F227">
        <v>0</v>
      </c>
      <c r="G227">
        <v>0</v>
      </c>
      <c r="H227">
        <v>536545.49</v>
      </c>
    </row>
    <row r="228" spans="1:8">
      <c r="A228">
        <v>42932.02</v>
      </c>
      <c r="B228">
        <v>3872</v>
      </c>
      <c r="C228">
        <v>83.2</v>
      </c>
      <c r="D228">
        <v>3.3</v>
      </c>
      <c r="E228">
        <v>1</v>
      </c>
      <c r="F228">
        <v>0</v>
      </c>
      <c r="G228">
        <v>0</v>
      </c>
      <c r="H228">
        <v>527681.56000000006</v>
      </c>
    </row>
    <row r="229" spans="1:8">
      <c r="A229">
        <v>39341.449999999997</v>
      </c>
      <c r="B229">
        <v>1375</v>
      </c>
      <c r="C229">
        <v>95</v>
      </c>
      <c r="D229">
        <v>3.9</v>
      </c>
      <c r="E229">
        <v>1</v>
      </c>
      <c r="F229">
        <v>0</v>
      </c>
      <c r="G229">
        <v>0</v>
      </c>
      <c r="H229">
        <v>529598.93999999994</v>
      </c>
    </row>
    <row r="230" spans="1:8">
      <c r="A230">
        <v>37324.230000000003</v>
      </c>
      <c r="B230">
        <v>5957</v>
      </c>
      <c r="C230">
        <v>85.9</v>
      </c>
      <c r="D230">
        <v>3.8</v>
      </c>
      <c r="E230">
        <v>1</v>
      </c>
      <c r="F230">
        <v>0</v>
      </c>
      <c r="G230">
        <v>0</v>
      </c>
      <c r="H230">
        <v>570963.31000000006</v>
      </c>
    </row>
    <row r="231" spans="1:8">
      <c r="A231">
        <v>113736</v>
      </c>
      <c r="B231">
        <v>8961</v>
      </c>
      <c r="C231">
        <v>86.2</v>
      </c>
      <c r="D231">
        <v>4</v>
      </c>
      <c r="E231">
        <v>1</v>
      </c>
      <c r="F231">
        <v>0</v>
      </c>
      <c r="G231">
        <v>0</v>
      </c>
      <c r="H231">
        <v>870937.4</v>
      </c>
    </row>
    <row r="232" spans="1:8">
      <c r="A232">
        <v>33173.949999999997</v>
      </c>
      <c r="B232">
        <v>6545</v>
      </c>
      <c r="C232">
        <v>84.4</v>
      </c>
      <c r="D232">
        <v>3.9</v>
      </c>
      <c r="E232">
        <v>1</v>
      </c>
      <c r="F232">
        <v>0</v>
      </c>
      <c r="G232">
        <v>0</v>
      </c>
      <c r="H232">
        <v>596969.27</v>
      </c>
    </row>
    <row r="233" spans="1:8">
      <c r="A233">
        <v>25818.080000000002</v>
      </c>
      <c r="B233">
        <v>5457</v>
      </c>
      <c r="C233">
        <v>95.4</v>
      </c>
      <c r="D233">
        <v>3.7</v>
      </c>
      <c r="E233">
        <v>1</v>
      </c>
      <c r="F233">
        <v>0</v>
      </c>
      <c r="G233">
        <v>0</v>
      </c>
      <c r="H233">
        <v>647512.85</v>
      </c>
    </row>
    <row r="234" spans="1:8">
      <c r="A234">
        <v>47241.919999999998</v>
      </c>
      <c r="B234">
        <v>4264</v>
      </c>
      <c r="C234">
        <v>95.3</v>
      </c>
      <c r="D234">
        <v>4.3</v>
      </c>
      <c r="E234">
        <v>0</v>
      </c>
      <c r="F234">
        <v>0</v>
      </c>
      <c r="G234">
        <v>1</v>
      </c>
      <c r="H234">
        <v>658072.14</v>
      </c>
    </row>
    <row r="235" spans="1:8">
      <c r="A235">
        <v>61650.79</v>
      </c>
      <c r="B235">
        <v>5321</v>
      </c>
      <c r="C235">
        <v>89.2</v>
      </c>
      <c r="D235">
        <v>4</v>
      </c>
      <c r="E235">
        <v>0</v>
      </c>
      <c r="F235">
        <v>0</v>
      </c>
      <c r="G235">
        <v>1</v>
      </c>
      <c r="H235">
        <v>723305.11</v>
      </c>
    </row>
    <row r="236" spans="1:8">
      <c r="A236">
        <v>62582.71</v>
      </c>
      <c r="B236">
        <v>5479</v>
      </c>
      <c r="C236">
        <v>81.2</v>
      </c>
      <c r="D236">
        <v>4.5</v>
      </c>
      <c r="E236">
        <v>0</v>
      </c>
      <c r="F236">
        <v>0</v>
      </c>
      <c r="G236">
        <v>1</v>
      </c>
      <c r="H236">
        <v>640666.53</v>
      </c>
    </row>
    <row r="237" spans="1:8">
      <c r="A237">
        <v>47944.14</v>
      </c>
      <c r="B237">
        <v>6169</v>
      </c>
      <c r="C237">
        <v>92.2</v>
      </c>
      <c r="D237">
        <v>4.0999999999999996</v>
      </c>
      <c r="E237">
        <v>0</v>
      </c>
      <c r="F237">
        <v>0</v>
      </c>
      <c r="G237">
        <v>1</v>
      </c>
      <c r="H237">
        <v>670629.48</v>
      </c>
    </row>
    <row r="238" spans="1:8">
      <c r="A238">
        <v>46495.4</v>
      </c>
      <c r="B238">
        <v>9908</v>
      </c>
      <c r="C238">
        <v>89.4</v>
      </c>
      <c r="D238">
        <v>3.7</v>
      </c>
      <c r="E238">
        <v>0</v>
      </c>
      <c r="F238">
        <v>0</v>
      </c>
      <c r="G238">
        <v>1</v>
      </c>
      <c r="H238">
        <v>721079.35</v>
      </c>
    </row>
    <row r="239" spans="1:8">
      <c r="A239">
        <v>72961.95</v>
      </c>
      <c r="B239">
        <v>9996</v>
      </c>
      <c r="C239">
        <v>89.1</v>
      </c>
      <c r="D239">
        <v>3.4</v>
      </c>
      <c r="E239">
        <v>0</v>
      </c>
      <c r="F239">
        <v>0</v>
      </c>
      <c r="G239">
        <v>1</v>
      </c>
      <c r="H239">
        <v>810355.02</v>
      </c>
    </row>
    <row r="240" spans="1:8">
      <c r="A240">
        <v>59060.05</v>
      </c>
      <c r="B240">
        <v>9702</v>
      </c>
      <c r="C240">
        <v>80.900000000000006</v>
      </c>
      <c r="D240">
        <v>3.2</v>
      </c>
      <c r="E240">
        <v>0</v>
      </c>
      <c r="F240">
        <v>0</v>
      </c>
      <c r="G240">
        <v>1</v>
      </c>
      <c r="H240">
        <v>761919.25</v>
      </c>
    </row>
    <row r="241" spans="1:8">
      <c r="A241">
        <v>26248.1</v>
      </c>
      <c r="B241">
        <v>9314</v>
      </c>
      <c r="C241">
        <v>83.7</v>
      </c>
      <c r="D241">
        <v>3.3</v>
      </c>
      <c r="E241">
        <v>0</v>
      </c>
      <c r="F241">
        <v>0</v>
      </c>
      <c r="G241">
        <v>1</v>
      </c>
      <c r="H241">
        <v>737070.18</v>
      </c>
    </row>
    <row r="242" spans="1:8">
      <c r="A242">
        <v>69900.12</v>
      </c>
      <c r="B242">
        <v>8055</v>
      </c>
      <c r="C242">
        <v>85.6</v>
      </c>
      <c r="D242">
        <v>2.9</v>
      </c>
      <c r="E242">
        <v>0</v>
      </c>
      <c r="F242">
        <v>1</v>
      </c>
      <c r="G242">
        <v>0</v>
      </c>
      <c r="H242">
        <v>776992.93</v>
      </c>
    </row>
    <row r="243" spans="1:8">
      <c r="A243">
        <v>51781.599999999999</v>
      </c>
      <c r="B243">
        <v>5648</v>
      </c>
      <c r="C243">
        <v>85.5</v>
      </c>
      <c r="D243">
        <v>3.7</v>
      </c>
      <c r="E243">
        <v>0</v>
      </c>
      <c r="F243">
        <v>1</v>
      </c>
      <c r="G243">
        <v>0</v>
      </c>
      <c r="H243">
        <v>676337.41</v>
      </c>
    </row>
    <row r="244" spans="1:8">
      <c r="A244">
        <v>70799.64</v>
      </c>
      <c r="B244">
        <v>10076</v>
      </c>
      <c r="C244">
        <v>84.8</v>
      </c>
      <c r="D244">
        <v>3.5</v>
      </c>
      <c r="E244">
        <v>0</v>
      </c>
      <c r="F244">
        <v>1</v>
      </c>
      <c r="G244">
        <v>0</v>
      </c>
      <c r="H244">
        <v>828219.67</v>
      </c>
    </row>
    <row r="245" spans="1:8">
      <c r="A245">
        <v>53546.34</v>
      </c>
      <c r="B245">
        <v>8004</v>
      </c>
      <c r="C245">
        <v>95.2</v>
      </c>
      <c r="D245">
        <v>3</v>
      </c>
      <c r="E245">
        <v>0</v>
      </c>
      <c r="F245">
        <v>1</v>
      </c>
      <c r="G245">
        <v>0</v>
      </c>
      <c r="H245">
        <v>763159.92</v>
      </c>
    </row>
    <row r="246" spans="1:8">
      <c r="A246">
        <v>76942.2</v>
      </c>
      <c r="B246">
        <v>8934</v>
      </c>
      <c r="C246">
        <v>91</v>
      </c>
      <c r="D246">
        <v>3.2</v>
      </c>
      <c r="E246">
        <v>1</v>
      </c>
      <c r="F246">
        <v>0</v>
      </c>
      <c r="G246">
        <v>0</v>
      </c>
      <c r="H246">
        <v>802001.68</v>
      </c>
    </row>
    <row r="247" spans="1:8">
      <c r="A247">
        <v>48060.78</v>
      </c>
      <c r="B247">
        <v>8733</v>
      </c>
      <c r="C247">
        <v>89.9</v>
      </c>
      <c r="D247">
        <v>3.4</v>
      </c>
      <c r="E247">
        <v>1</v>
      </c>
      <c r="F247">
        <v>0</v>
      </c>
      <c r="G247">
        <v>0</v>
      </c>
      <c r="H247">
        <v>750471.34</v>
      </c>
    </row>
    <row r="248" spans="1:8">
      <c r="A248">
        <v>57390.04</v>
      </c>
      <c r="B248">
        <v>7374</v>
      </c>
      <c r="C248">
        <v>91.8</v>
      </c>
      <c r="D248">
        <v>3.1</v>
      </c>
      <c r="E248">
        <v>1</v>
      </c>
      <c r="F248">
        <v>0</v>
      </c>
      <c r="G248">
        <v>0</v>
      </c>
      <c r="H248">
        <v>679230.86</v>
      </c>
    </row>
    <row r="249" spans="1:8">
      <c r="A249">
        <v>21536.18</v>
      </c>
      <c r="B249">
        <v>8119</v>
      </c>
      <c r="C249">
        <v>90.4</v>
      </c>
      <c r="D249">
        <v>3.3</v>
      </c>
      <c r="E249">
        <v>1</v>
      </c>
      <c r="F249">
        <v>0</v>
      </c>
      <c r="G249">
        <v>0</v>
      </c>
      <c r="H249">
        <v>679888.74</v>
      </c>
    </row>
    <row r="250" spans="1:8">
      <c r="A250">
        <v>40923.67</v>
      </c>
      <c r="B250">
        <v>3875</v>
      </c>
      <c r="C250">
        <v>96.1</v>
      </c>
      <c r="D250">
        <v>3.8</v>
      </c>
      <c r="E250">
        <v>0</v>
      </c>
      <c r="F250">
        <v>0</v>
      </c>
      <c r="G250">
        <v>0</v>
      </c>
      <c r="H250">
        <v>606783.67000000004</v>
      </c>
    </row>
    <row r="251" spans="1:8">
      <c r="A251">
        <v>72932.55</v>
      </c>
      <c r="B251">
        <v>5765</v>
      </c>
      <c r="C251">
        <v>81.8</v>
      </c>
      <c r="D251">
        <v>3.6</v>
      </c>
      <c r="E251">
        <v>0</v>
      </c>
      <c r="F251">
        <v>0</v>
      </c>
      <c r="G251">
        <v>0</v>
      </c>
      <c r="H251">
        <v>642751.42000000004</v>
      </c>
    </row>
    <row r="252" spans="1:8">
      <c r="A252">
        <v>38361.93</v>
      </c>
      <c r="B252">
        <v>6322</v>
      </c>
      <c r="C252">
        <v>88.4</v>
      </c>
      <c r="D252">
        <v>4</v>
      </c>
      <c r="E252">
        <v>0</v>
      </c>
      <c r="F252">
        <v>0</v>
      </c>
      <c r="G252">
        <v>0</v>
      </c>
      <c r="H252">
        <v>647953.78</v>
      </c>
    </row>
    <row r="253" spans="1:8">
      <c r="A253">
        <v>97480.94</v>
      </c>
      <c r="B253">
        <v>6840</v>
      </c>
      <c r="C253">
        <v>79.2</v>
      </c>
      <c r="D253">
        <v>4</v>
      </c>
      <c r="E253">
        <v>0</v>
      </c>
      <c r="F253">
        <v>0</v>
      </c>
      <c r="G253">
        <v>0</v>
      </c>
      <c r="H253">
        <v>729440.45</v>
      </c>
    </row>
    <row r="254" spans="1:8">
      <c r="A254">
        <v>81801.8</v>
      </c>
      <c r="B254">
        <v>6782</v>
      </c>
      <c r="C254">
        <v>99</v>
      </c>
      <c r="D254">
        <v>3.7</v>
      </c>
      <c r="E254">
        <v>0</v>
      </c>
      <c r="F254">
        <v>1</v>
      </c>
      <c r="G254">
        <v>0</v>
      </c>
      <c r="H254">
        <v>764949</v>
      </c>
    </row>
    <row r="255" spans="1:8">
      <c r="A255">
        <v>63582.11</v>
      </c>
      <c r="B255">
        <v>6856</v>
      </c>
      <c r="C255">
        <v>89.5</v>
      </c>
      <c r="D255">
        <v>3.2</v>
      </c>
      <c r="E255">
        <v>0</v>
      </c>
      <c r="F255">
        <v>1</v>
      </c>
      <c r="G255">
        <v>0</v>
      </c>
      <c r="H255">
        <v>799046.94</v>
      </c>
    </row>
    <row r="256" spans="1:8">
      <c r="A256">
        <v>75412.740000000005</v>
      </c>
      <c r="B256">
        <v>5641</v>
      </c>
      <c r="C256">
        <v>87.9</v>
      </c>
      <c r="D256">
        <v>3.6</v>
      </c>
      <c r="E256">
        <v>0</v>
      </c>
      <c r="F256">
        <v>1</v>
      </c>
      <c r="G256">
        <v>0</v>
      </c>
      <c r="H256">
        <v>720079.54</v>
      </c>
    </row>
    <row r="257" spans="1:8">
      <c r="A257">
        <v>36290.080000000002</v>
      </c>
      <c r="B257">
        <v>5787</v>
      </c>
      <c r="C257">
        <v>88.3</v>
      </c>
      <c r="D257">
        <v>4.0999999999999996</v>
      </c>
      <c r="E257">
        <v>0</v>
      </c>
      <c r="F257">
        <v>1</v>
      </c>
      <c r="G257">
        <v>0</v>
      </c>
      <c r="H257">
        <v>612390.14</v>
      </c>
    </row>
    <row r="258" spans="1:8">
      <c r="A258">
        <v>65272.58</v>
      </c>
      <c r="B258">
        <v>8165</v>
      </c>
      <c r="C258">
        <v>87.8</v>
      </c>
      <c r="D258">
        <v>4.3</v>
      </c>
      <c r="E258">
        <v>0</v>
      </c>
      <c r="F258">
        <v>1</v>
      </c>
      <c r="G258">
        <v>0</v>
      </c>
      <c r="H258">
        <v>840108.12</v>
      </c>
    </row>
    <row r="259" spans="1:8">
      <c r="A259">
        <v>28670.43</v>
      </c>
      <c r="B259">
        <v>7574</v>
      </c>
      <c r="C259">
        <v>82.7</v>
      </c>
      <c r="D259">
        <v>4.5999999999999996</v>
      </c>
      <c r="E259">
        <v>0</v>
      </c>
      <c r="F259">
        <v>1</v>
      </c>
      <c r="G259">
        <v>0</v>
      </c>
      <c r="H259">
        <v>697888.09</v>
      </c>
    </row>
    <row r="260" spans="1:8">
      <c r="A260">
        <v>44189.34</v>
      </c>
      <c r="B260">
        <v>8634</v>
      </c>
      <c r="C260">
        <v>87.5</v>
      </c>
      <c r="D260">
        <v>4.4000000000000004</v>
      </c>
      <c r="E260">
        <v>0</v>
      </c>
      <c r="F260">
        <v>1</v>
      </c>
      <c r="G260">
        <v>0</v>
      </c>
      <c r="H260">
        <v>746115.59</v>
      </c>
    </row>
    <row r="261" spans="1:8">
      <c r="A261">
        <v>38397.82</v>
      </c>
      <c r="B261">
        <v>7836</v>
      </c>
      <c r="C261">
        <v>92.2</v>
      </c>
      <c r="D261">
        <v>3.6</v>
      </c>
      <c r="E261">
        <v>0</v>
      </c>
      <c r="F261">
        <v>1</v>
      </c>
      <c r="G261">
        <v>0</v>
      </c>
      <c r="H261">
        <v>776110.32</v>
      </c>
    </row>
    <row r="262" spans="1:8">
      <c r="A262">
        <v>14519.37</v>
      </c>
      <c r="B262">
        <v>3047</v>
      </c>
      <c r="C262">
        <v>90.3</v>
      </c>
      <c r="D262">
        <v>4.2</v>
      </c>
      <c r="E262">
        <v>0</v>
      </c>
      <c r="F262">
        <v>0</v>
      </c>
      <c r="G262">
        <v>1</v>
      </c>
      <c r="H262">
        <v>528852.62</v>
      </c>
    </row>
    <row r="263" spans="1:8">
      <c r="A263">
        <v>43288.2</v>
      </c>
      <c r="B263">
        <v>4783</v>
      </c>
      <c r="C263">
        <v>87.3</v>
      </c>
      <c r="D263">
        <v>4.2</v>
      </c>
      <c r="E263">
        <v>0</v>
      </c>
      <c r="F263">
        <v>0</v>
      </c>
      <c r="G263">
        <v>1</v>
      </c>
      <c r="H263">
        <v>605751.32999999996</v>
      </c>
    </row>
    <row r="264" spans="1:8">
      <c r="A264">
        <v>51450.55</v>
      </c>
      <c r="B264">
        <v>4902</v>
      </c>
      <c r="C264">
        <v>83.7</v>
      </c>
      <c r="D264">
        <v>4.2</v>
      </c>
      <c r="E264">
        <v>0</v>
      </c>
      <c r="F264">
        <v>0</v>
      </c>
      <c r="G264">
        <v>1</v>
      </c>
      <c r="H264">
        <v>677640.65</v>
      </c>
    </row>
    <row r="265" spans="1:8">
      <c r="A265">
        <v>58688.26</v>
      </c>
      <c r="B265">
        <v>4022</v>
      </c>
      <c r="C265">
        <v>93.8</v>
      </c>
      <c r="D265">
        <v>3.7</v>
      </c>
      <c r="E265">
        <v>0</v>
      </c>
      <c r="F265">
        <v>0</v>
      </c>
      <c r="G265">
        <v>1</v>
      </c>
      <c r="H265">
        <v>636613.23</v>
      </c>
    </row>
    <row r="266" spans="1:8">
      <c r="A266">
        <v>58981.91</v>
      </c>
      <c r="B266">
        <v>7324</v>
      </c>
      <c r="C266">
        <v>95.8</v>
      </c>
      <c r="D266">
        <v>3.5</v>
      </c>
      <c r="E266">
        <v>1</v>
      </c>
      <c r="F266">
        <v>0</v>
      </c>
      <c r="G266">
        <v>0</v>
      </c>
      <c r="H266">
        <v>708985.19</v>
      </c>
    </row>
    <row r="267" spans="1:8">
      <c r="A267">
        <v>73454.539999999994</v>
      </c>
      <c r="B267">
        <v>8129</v>
      </c>
      <c r="C267">
        <v>85.2</v>
      </c>
      <c r="D267">
        <v>3.7</v>
      </c>
      <c r="E267">
        <v>1</v>
      </c>
      <c r="F267">
        <v>0</v>
      </c>
      <c r="G267">
        <v>0</v>
      </c>
      <c r="H267">
        <v>767792.94</v>
      </c>
    </row>
    <row r="268" spans="1:8">
      <c r="A268">
        <v>56602.39</v>
      </c>
      <c r="B268">
        <v>7969</v>
      </c>
      <c r="C268">
        <v>88.3</v>
      </c>
      <c r="D268">
        <v>3.7</v>
      </c>
      <c r="E268">
        <v>1</v>
      </c>
      <c r="F268">
        <v>0</v>
      </c>
      <c r="G268">
        <v>0</v>
      </c>
      <c r="H268">
        <v>745580.51</v>
      </c>
    </row>
    <row r="269" spans="1:8">
      <c r="A269">
        <v>67722.289999999994</v>
      </c>
      <c r="B269">
        <v>7240</v>
      </c>
      <c r="C269">
        <v>92.9</v>
      </c>
      <c r="D269">
        <v>3.5</v>
      </c>
      <c r="E269">
        <v>1</v>
      </c>
      <c r="F269">
        <v>0</v>
      </c>
      <c r="G269">
        <v>0</v>
      </c>
      <c r="H269">
        <v>762328.31</v>
      </c>
    </row>
    <row r="270" spans="1:8">
      <c r="A270">
        <v>48752.92</v>
      </c>
      <c r="B270">
        <v>8052</v>
      </c>
      <c r="C270">
        <v>94.9</v>
      </c>
      <c r="D270">
        <v>3.6</v>
      </c>
      <c r="E270">
        <v>1</v>
      </c>
      <c r="F270">
        <v>0</v>
      </c>
      <c r="G270">
        <v>0</v>
      </c>
      <c r="H270">
        <v>660633.99</v>
      </c>
    </row>
    <row r="271" spans="1:8">
      <c r="A271">
        <v>23914.97</v>
      </c>
      <c r="B271">
        <v>8018</v>
      </c>
      <c r="C271">
        <v>89</v>
      </c>
      <c r="D271">
        <v>3.5</v>
      </c>
      <c r="E271">
        <v>1</v>
      </c>
      <c r="F271">
        <v>0</v>
      </c>
      <c r="G271">
        <v>0</v>
      </c>
      <c r="H271">
        <v>739374.56</v>
      </c>
    </row>
    <row r="272" spans="1:8">
      <c r="A272">
        <v>61995.3</v>
      </c>
      <c r="B272">
        <v>10192</v>
      </c>
      <c r="C272">
        <v>87.6</v>
      </c>
      <c r="D272">
        <v>3.8</v>
      </c>
      <c r="E272">
        <v>1</v>
      </c>
      <c r="F272">
        <v>0</v>
      </c>
      <c r="G272">
        <v>0</v>
      </c>
      <c r="H272">
        <v>799756.46</v>
      </c>
    </row>
    <row r="273" spans="1:8">
      <c r="A273">
        <v>29344.93</v>
      </c>
      <c r="B273">
        <v>7446</v>
      </c>
      <c r="C273">
        <v>86.2</v>
      </c>
      <c r="D273">
        <v>3.2</v>
      </c>
      <c r="E273">
        <v>1</v>
      </c>
      <c r="F273">
        <v>0</v>
      </c>
      <c r="G273">
        <v>0</v>
      </c>
      <c r="H273">
        <v>593343</v>
      </c>
    </row>
    <row r="274" spans="1:8">
      <c r="A274">
        <v>50532.17</v>
      </c>
      <c r="B274">
        <v>5689</v>
      </c>
      <c r="C274">
        <v>85.6</v>
      </c>
      <c r="D274">
        <v>3.3</v>
      </c>
      <c r="E274">
        <v>0</v>
      </c>
      <c r="F274">
        <v>0</v>
      </c>
      <c r="G274">
        <v>1</v>
      </c>
      <c r="H274">
        <v>645039.97</v>
      </c>
    </row>
    <row r="275" spans="1:8">
      <c r="A275">
        <v>17562.57</v>
      </c>
      <c r="B275">
        <v>3326</v>
      </c>
      <c r="C275">
        <v>88.1</v>
      </c>
      <c r="D275">
        <v>3.1</v>
      </c>
      <c r="E275">
        <v>0</v>
      </c>
      <c r="F275">
        <v>0</v>
      </c>
      <c r="G275">
        <v>1</v>
      </c>
      <c r="H275">
        <v>561597.32999999996</v>
      </c>
    </row>
    <row r="276" spans="1:8">
      <c r="A276">
        <v>47648.71</v>
      </c>
      <c r="B276">
        <v>5767</v>
      </c>
      <c r="C276">
        <v>89.8</v>
      </c>
      <c r="D276">
        <v>3.1</v>
      </c>
      <c r="E276">
        <v>0</v>
      </c>
      <c r="F276">
        <v>0</v>
      </c>
      <c r="G276">
        <v>1</v>
      </c>
      <c r="H276">
        <v>635837.74</v>
      </c>
    </row>
    <row r="277" spans="1:8">
      <c r="A277">
        <v>38297.58</v>
      </c>
      <c r="B277">
        <v>5893</v>
      </c>
      <c r="C277">
        <v>77.599999999999994</v>
      </c>
      <c r="D277">
        <v>3</v>
      </c>
      <c r="E277">
        <v>0</v>
      </c>
      <c r="F277">
        <v>0</v>
      </c>
      <c r="G277">
        <v>1</v>
      </c>
      <c r="H277">
        <v>686737.87</v>
      </c>
    </row>
    <row r="278" spans="1:8">
      <c r="A278">
        <v>61784.11</v>
      </c>
      <c r="B278">
        <v>8564</v>
      </c>
      <c r="C278">
        <v>87.4</v>
      </c>
      <c r="D278">
        <v>3.4</v>
      </c>
      <c r="E278">
        <v>0</v>
      </c>
      <c r="F278">
        <v>1</v>
      </c>
      <c r="G278">
        <v>0</v>
      </c>
      <c r="H278">
        <v>673076.34</v>
      </c>
    </row>
    <row r="279" spans="1:8">
      <c r="A279">
        <v>36832.33</v>
      </c>
      <c r="B279">
        <v>8001</v>
      </c>
      <c r="C279">
        <v>88.7</v>
      </c>
      <c r="D279">
        <v>4</v>
      </c>
      <c r="E279">
        <v>0</v>
      </c>
      <c r="F279">
        <v>1</v>
      </c>
      <c r="G279">
        <v>0</v>
      </c>
      <c r="H279">
        <v>738548.42</v>
      </c>
    </row>
    <row r="280" spans="1:8">
      <c r="A280">
        <v>48609.41</v>
      </c>
      <c r="B280">
        <v>9324</v>
      </c>
      <c r="C280">
        <v>86.5</v>
      </c>
      <c r="D280">
        <v>3.9</v>
      </c>
      <c r="E280">
        <v>0</v>
      </c>
      <c r="F280">
        <v>1</v>
      </c>
      <c r="G280">
        <v>0</v>
      </c>
      <c r="H280">
        <v>756619.77</v>
      </c>
    </row>
    <row r="281" spans="1:8">
      <c r="A281">
        <v>70284.06</v>
      </c>
      <c r="B281">
        <v>9109</v>
      </c>
      <c r="C281">
        <v>87</v>
      </c>
      <c r="D281">
        <v>3.7</v>
      </c>
      <c r="E281">
        <v>0</v>
      </c>
      <c r="F281">
        <v>1</v>
      </c>
      <c r="G281">
        <v>0</v>
      </c>
      <c r="H281">
        <v>761122.42</v>
      </c>
    </row>
    <row r="282" spans="1:8">
      <c r="A282">
        <v>45940.39</v>
      </c>
      <c r="B282">
        <v>4022</v>
      </c>
      <c r="C282">
        <v>83</v>
      </c>
      <c r="D282">
        <v>3.8</v>
      </c>
      <c r="E282">
        <v>0</v>
      </c>
      <c r="F282">
        <v>1</v>
      </c>
      <c r="G282">
        <v>0</v>
      </c>
      <c r="H282">
        <v>524899.56999999995</v>
      </c>
    </row>
    <row r="283" spans="1:8">
      <c r="A283">
        <v>34771.26</v>
      </c>
      <c r="B283">
        <v>4355</v>
      </c>
      <c r="C283">
        <v>87.9</v>
      </c>
      <c r="D283">
        <v>4</v>
      </c>
      <c r="E283">
        <v>0</v>
      </c>
      <c r="F283">
        <v>1</v>
      </c>
      <c r="G283">
        <v>0</v>
      </c>
      <c r="H283">
        <v>555557.77</v>
      </c>
    </row>
    <row r="284" spans="1:8">
      <c r="A284">
        <v>66104.19</v>
      </c>
      <c r="B284">
        <v>5745</v>
      </c>
      <c r="C284">
        <v>95.8</v>
      </c>
      <c r="D284">
        <v>4</v>
      </c>
      <c r="E284">
        <v>0</v>
      </c>
      <c r="F284">
        <v>1</v>
      </c>
      <c r="G284">
        <v>0</v>
      </c>
      <c r="H284">
        <v>714083.68</v>
      </c>
    </row>
    <row r="285" spans="1:8">
      <c r="A285">
        <v>18599.21</v>
      </c>
      <c r="B285">
        <v>3027</v>
      </c>
      <c r="C285">
        <v>80.900000000000006</v>
      </c>
      <c r="D285">
        <v>4.2</v>
      </c>
      <c r="E285">
        <v>0</v>
      </c>
      <c r="F285">
        <v>1</v>
      </c>
      <c r="G285">
        <v>0</v>
      </c>
      <c r="H285">
        <v>497439.82</v>
      </c>
    </row>
    <row r="286" spans="1:8">
      <c r="A286">
        <v>60183.06</v>
      </c>
      <c r="B286">
        <v>5562</v>
      </c>
      <c r="C286">
        <v>86.3</v>
      </c>
      <c r="D286">
        <v>4.5</v>
      </c>
      <c r="E286">
        <v>0</v>
      </c>
      <c r="F286">
        <v>0</v>
      </c>
      <c r="G286">
        <v>1</v>
      </c>
      <c r="H286">
        <v>636775.66</v>
      </c>
    </row>
    <row r="287" spans="1:8">
      <c r="A287">
        <v>74539.14</v>
      </c>
      <c r="B287">
        <v>4487</v>
      </c>
      <c r="C287">
        <v>90.4</v>
      </c>
      <c r="D287">
        <v>4.5</v>
      </c>
      <c r="E287">
        <v>0</v>
      </c>
      <c r="F287">
        <v>0</v>
      </c>
      <c r="G287">
        <v>1</v>
      </c>
      <c r="H287">
        <v>633009.53</v>
      </c>
    </row>
    <row r="288" spans="1:8">
      <c r="A288">
        <v>55371.97</v>
      </c>
      <c r="B288">
        <v>4162</v>
      </c>
      <c r="C288">
        <v>92</v>
      </c>
      <c r="D288">
        <v>4.2</v>
      </c>
      <c r="E288">
        <v>0</v>
      </c>
      <c r="F288">
        <v>0</v>
      </c>
      <c r="G288">
        <v>1</v>
      </c>
      <c r="H288">
        <v>609949</v>
      </c>
    </row>
    <row r="289" spans="1:8">
      <c r="A289">
        <v>40928.69</v>
      </c>
      <c r="B289">
        <v>4094</v>
      </c>
      <c r="C289">
        <v>82.4</v>
      </c>
      <c r="D289">
        <v>4.8</v>
      </c>
      <c r="E289">
        <v>0</v>
      </c>
      <c r="F289">
        <v>0</v>
      </c>
      <c r="G289">
        <v>1</v>
      </c>
      <c r="H289">
        <v>548103.69999999995</v>
      </c>
    </row>
    <row r="290" spans="1:8">
      <c r="A290">
        <v>70012.41</v>
      </c>
      <c r="B290">
        <v>8484</v>
      </c>
      <c r="C290">
        <v>72.900000000000006</v>
      </c>
      <c r="D290">
        <v>3.7</v>
      </c>
      <c r="E290">
        <v>1</v>
      </c>
      <c r="F290">
        <v>0</v>
      </c>
      <c r="G290">
        <v>0</v>
      </c>
      <c r="H290">
        <v>729424.42</v>
      </c>
    </row>
    <row r="291" spans="1:8">
      <c r="A291">
        <v>68909.259999999995</v>
      </c>
      <c r="B291">
        <v>7794</v>
      </c>
      <c r="C291">
        <v>89</v>
      </c>
      <c r="D291">
        <v>4</v>
      </c>
      <c r="E291">
        <v>1</v>
      </c>
      <c r="F291">
        <v>0</v>
      </c>
      <c r="G291">
        <v>0</v>
      </c>
      <c r="H291">
        <v>696261.49</v>
      </c>
    </row>
    <row r="292" spans="1:8">
      <c r="A292">
        <v>56737.3</v>
      </c>
      <c r="B292">
        <v>8300</v>
      </c>
      <c r="C292">
        <v>83.2</v>
      </c>
      <c r="D292">
        <v>4.3</v>
      </c>
      <c r="E292">
        <v>1</v>
      </c>
      <c r="F292">
        <v>0</v>
      </c>
      <c r="G292">
        <v>0</v>
      </c>
      <c r="H292">
        <v>813316.71</v>
      </c>
    </row>
    <row r="293" spans="1:8">
      <c r="A293">
        <v>54080.91</v>
      </c>
      <c r="B293">
        <v>7083</v>
      </c>
      <c r="C293">
        <v>97</v>
      </c>
      <c r="D293">
        <v>4.0999999999999996</v>
      </c>
      <c r="E293">
        <v>1</v>
      </c>
      <c r="F293">
        <v>0</v>
      </c>
      <c r="G293">
        <v>0</v>
      </c>
      <c r="H293">
        <v>702068.92</v>
      </c>
    </row>
    <row r="294" spans="1:8">
      <c r="A294">
        <v>51996.32</v>
      </c>
      <c r="B294">
        <v>3834</v>
      </c>
      <c r="C294">
        <v>86.7</v>
      </c>
      <c r="D294">
        <v>4.5</v>
      </c>
      <c r="E294">
        <v>0</v>
      </c>
      <c r="F294">
        <v>0</v>
      </c>
      <c r="G294">
        <v>1</v>
      </c>
      <c r="H294">
        <v>546223.69999999995</v>
      </c>
    </row>
    <row r="295" spans="1:8">
      <c r="A295">
        <v>40102.879999999997</v>
      </c>
      <c r="B295">
        <v>2358</v>
      </c>
      <c r="C295">
        <v>88.7</v>
      </c>
      <c r="D295">
        <v>4.2</v>
      </c>
      <c r="E295">
        <v>0</v>
      </c>
      <c r="F295">
        <v>0</v>
      </c>
      <c r="G295">
        <v>1</v>
      </c>
      <c r="H295">
        <v>533121.26</v>
      </c>
    </row>
    <row r="296" spans="1:8">
      <c r="A296">
        <v>59825.51</v>
      </c>
      <c r="B296">
        <v>1231</v>
      </c>
      <c r="C296">
        <v>84.8</v>
      </c>
      <c r="D296">
        <v>4.7</v>
      </c>
      <c r="E296">
        <v>0</v>
      </c>
      <c r="F296">
        <v>0</v>
      </c>
      <c r="G296">
        <v>1</v>
      </c>
      <c r="H296">
        <v>498970.32</v>
      </c>
    </row>
    <row r="297" spans="1:8">
      <c r="A297">
        <v>27398.28</v>
      </c>
      <c r="B297">
        <v>1723</v>
      </c>
      <c r="C297">
        <v>81</v>
      </c>
      <c r="D297">
        <v>4.5999999999999996</v>
      </c>
      <c r="E297">
        <v>0</v>
      </c>
      <c r="F297">
        <v>0</v>
      </c>
      <c r="G297">
        <v>1</v>
      </c>
      <c r="H297">
        <v>487738.26</v>
      </c>
    </row>
    <row r="298" spans="1:8">
      <c r="A298">
        <v>55599.56</v>
      </c>
      <c r="B298">
        <v>5896</v>
      </c>
      <c r="C298">
        <v>93.1</v>
      </c>
      <c r="D298">
        <v>3.3</v>
      </c>
      <c r="E298">
        <v>0</v>
      </c>
      <c r="F298">
        <v>0</v>
      </c>
      <c r="G298">
        <v>1</v>
      </c>
      <c r="H298">
        <v>668459.37</v>
      </c>
    </row>
    <row r="299" spans="1:8">
      <c r="A299">
        <v>55477.61</v>
      </c>
      <c r="B299">
        <v>5903</v>
      </c>
      <c r="C299">
        <v>96.2</v>
      </c>
      <c r="D299">
        <v>3.3</v>
      </c>
      <c r="E299">
        <v>0</v>
      </c>
      <c r="F299">
        <v>0</v>
      </c>
      <c r="G299">
        <v>1</v>
      </c>
      <c r="H299">
        <v>763162.45</v>
      </c>
    </row>
    <row r="300" spans="1:8">
      <c r="A300">
        <v>46174.7</v>
      </c>
      <c r="B300">
        <v>4898</v>
      </c>
      <c r="C300">
        <v>91.7</v>
      </c>
      <c r="D300">
        <v>3.1</v>
      </c>
      <c r="E300">
        <v>0</v>
      </c>
      <c r="F300">
        <v>0</v>
      </c>
      <c r="G300">
        <v>1</v>
      </c>
      <c r="H300">
        <v>599017.32999999996</v>
      </c>
    </row>
    <row r="301" spans="1:8">
      <c r="A301">
        <v>24362.98</v>
      </c>
      <c r="B301">
        <v>1462</v>
      </c>
      <c r="C301">
        <v>89.3</v>
      </c>
      <c r="D301">
        <v>3.2</v>
      </c>
      <c r="E301">
        <v>0</v>
      </c>
      <c r="F301">
        <v>0</v>
      </c>
      <c r="G301">
        <v>1</v>
      </c>
      <c r="H301">
        <v>401582.58</v>
      </c>
    </row>
    <row r="302" spans="1:8">
      <c r="A302">
        <v>40647.67</v>
      </c>
      <c r="B302">
        <v>8252</v>
      </c>
      <c r="C302">
        <v>88.2</v>
      </c>
      <c r="D302">
        <v>4.0999999999999996</v>
      </c>
      <c r="E302">
        <v>0</v>
      </c>
      <c r="F302">
        <v>0</v>
      </c>
      <c r="G302">
        <v>0</v>
      </c>
      <c r="H302">
        <v>703812.99</v>
      </c>
    </row>
    <row r="303" spans="1:8">
      <c r="A303">
        <v>63986.98</v>
      </c>
      <c r="B303">
        <v>7989</v>
      </c>
      <c r="C303">
        <v>83.3</v>
      </c>
      <c r="D303">
        <v>3.7</v>
      </c>
      <c r="E303">
        <v>0</v>
      </c>
      <c r="F303">
        <v>0</v>
      </c>
      <c r="G303">
        <v>0</v>
      </c>
      <c r="H303">
        <v>724346.73</v>
      </c>
    </row>
    <row r="304" spans="1:8">
      <c r="A304">
        <v>52843.75</v>
      </c>
      <c r="B304">
        <v>8268</v>
      </c>
      <c r="C304">
        <v>87.3</v>
      </c>
      <c r="D304">
        <v>4.7</v>
      </c>
      <c r="E304">
        <v>0</v>
      </c>
      <c r="F304">
        <v>0</v>
      </c>
      <c r="G304">
        <v>0</v>
      </c>
      <c r="H304">
        <v>730890.01</v>
      </c>
    </row>
    <row r="305" spans="1:8">
      <c r="A305">
        <v>31997.25</v>
      </c>
      <c r="B305">
        <v>8183</v>
      </c>
      <c r="C305">
        <v>93</v>
      </c>
      <c r="D305">
        <v>4.2</v>
      </c>
      <c r="E305">
        <v>0</v>
      </c>
      <c r="F305">
        <v>0</v>
      </c>
      <c r="G305">
        <v>0</v>
      </c>
      <c r="H305">
        <v>780580.95</v>
      </c>
    </row>
    <row r="306" spans="1:8">
      <c r="A306">
        <v>54948.02</v>
      </c>
      <c r="B306">
        <v>6534</v>
      </c>
      <c r="C306">
        <v>94.5</v>
      </c>
      <c r="D306">
        <v>4</v>
      </c>
      <c r="E306">
        <v>0</v>
      </c>
      <c r="F306">
        <v>1</v>
      </c>
      <c r="G306">
        <v>0</v>
      </c>
      <c r="H306">
        <v>727957.48</v>
      </c>
    </row>
    <row r="307" spans="1:8">
      <c r="A307">
        <v>46146.239999999998</v>
      </c>
      <c r="B307">
        <v>5804</v>
      </c>
      <c r="C307">
        <v>86.9</v>
      </c>
      <c r="D307">
        <v>3.8</v>
      </c>
      <c r="E307">
        <v>0</v>
      </c>
      <c r="F307">
        <v>1</v>
      </c>
      <c r="G307">
        <v>0</v>
      </c>
      <c r="H307">
        <v>538376</v>
      </c>
    </row>
    <row r="308" spans="1:8">
      <c r="A308">
        <v>22387.26</v>
      </c>
      <c r="B308">
        <v>6301</v>
      </c>
      <c r="C308">
        <v>85.9</v>
      </c>
      <c r="D308">
        <v>3.7</v>
      </c>
      <c r="E308">
        <v>0</v>
      </c>
      <c r="F308">
        <v>1</v>
      </c>
      <c r="G308">
        <v>0</v>
      </c>
      <c r="H308">
        <v>665342.49</v>
      </c>
    </row>
    <row r="309" spans="1:8">
      <c r="A309">
        <v>60684.05</v>
      </c>
      <c r="B309">
        <v>6399</v>
      </c>
      <c r="C309">
        <v>99</v>
      </c>
      <c r="D309">
        <v>3.5</v>
      </c>
      <c r="E309">
        <v>0</v>
      </c>
      <c r="F309">
        <v>1</v>
      </c>
      <c r="G309">
        <v>0</v>
      </c>
      <c r="H309">
        <v>651164.18000000005</v>
      </c>
    </row>
    <row r="310" spans="1:8">
      <c r="A310">
        <v>48465.599999999999</v>
      </c>
      <c r="B310">
        <v>5759</v>
      </c>
      <c r="C310">
        <v>87.5</v>
      </c>
      <c r="D310">
        <v>4</v>
      </c>
      <c r="E310">
        <v>0</v>
      </c>
      <c r="F310">
        <v>1</v>
      </c>
      <c r="G310">
        <v>0</v>
      </c>
      <c r="H310">
        <v>628538.30000000005</v>
      </c>
    </row>
    <row r="311" spans="1:8">
      <c r="A311">
        <v>23702.38</v>
      </c>
      <c r="B311">
        <v>5285</v>
      </c>
      <c r="C311">
        <v>79.7</v>
      </c>
      <c r="D311">
        <v>4.3</v>
      </c>
      <c r="E311">
        <v>0</v>
      </c>
      <c r="F311">
        <v>1</v>
      </c>
      <c r="G311">
        <v>0</v>
      </c>
      <c r="H311">
        <v>536524.84</v>
      </c>
    </row>
    <row r="312" spans="1:8">
      <c r="A312">
        <v>54322.94</v>
      </c>
      <c r="B312">
        <v>5434</v>
      </c>
      <c r="C312">
        <v>85.7</v>
      </c>
      <c r="D312">
        <v>4.2</v>
      </c>
      <c r="E312">
        <v>0</v>
      </c>
      <c r="F312">
        <v>1</v>
      </c>
      <c r="G312">
        <v>0</v>
      </c>
      <c r="H312">
        <v>621677.30000000005</v>
      </c>
    </row>
    <row r="313" spans="1:8">
      <c r="A313">
        <v>86026.58</v>
      </c>
      <c r="B313">
        <v>7479</v>
      </c>
      <c r="C313">
        <v>89</v>
      </c>
      <c r="D313">
        <v>3.9</v>
      </c>
      <c r="E313">
        <v>0</v>
      </c>
      <c r="F313">
        <v>1</v>
      </c>
      <c r="G313">
        <v>0</v>
      </c>
      <c r="H313">
        <v>771129.07</v>
      </c>
    </row>
    <row r="314" spans="1:8">
      <c r="A314">
        <v>78967.520000000004</v>
      </c>
      <c r="B314">
        <v>6164</v>
      </c>
      <c r="C314">
        <v>85.5</v>
      </c>
      <c r="D314">
        <v>3.4</v>
      </c>
      <c r="E314">
        <v>0</v>
      </c>
      <c r="F314">
        <v>0</v>
      </c>
      <c r="G314">
        <v>0</v>
      </c>
      <c r="H314">
        <v>702052.47</v>
      </c>
    </row>
    <row r="315" spans="1:8">
      <c r="A315">
        <v>46767.99</v>
      </c>
      <c r="B315">
        <v>7973</v>
      </c>
      <c r="C315">
        <v>94.8</v>
      </c>
      <c r="D315">
        <v>3.9</v>
      </c>
      <c r="E315">
        <v>0</v>
      </c>
      <c r="F315">
        <v>0</v>
      </c>
      <c r="G315">
        <v>0</v>
      </c>
      <c r="H315">
        <v>688368.46</v>
      </c>
    </row>
    <row r="316" spans="1:8">
      <c r="A316">
        <v>62507.16</v>
      </c>
      <c r="B316">
        <v>6000</v>
      </c>
      <c r="C316">
        <v>98.2</v>
      </c>
      <c r="D316">
        <v>3.9</v>
      </c>
      <c r="E316">
        <v>0</v>
      </c>
      <c r="F316">
        <v>0</v>
      </c>
      <c r="G316">
        <v>0</v>
      </c>
      <c r="H316">
        <v>712375.77</v>
      </c>
    </row>
    <row r="317" spans="1:8">
      <c r="A317">
        <v>66456.28</v>
      </c>
      <c r="B317">
        <v>9967</v>
      </c>
      <c r="C317">
        <v>94.7</v>
      </c>
      <c r="D317">
        <v>4.2</v>
      </c>
      <c r="E317">
        <v>0</v>
      </c>
      <c r="F317">
        <v>0</v>
      </c>
      <c r="G317">
        <v>0</v>
      </c>
      <c r="H317">
        <v>844710.67</v>
      </c>
    </row>
    <row r="318" spans="1:8">
      <c r="A318">
        <v>76614.320000000007</v>
      </c>
      <c r="B318">
        <v>5639</v>
      </c>
      <c r="C318">
        <v>92.9</v>
      </c>
      <c r="D318">
        <v>4</v>
      </c>
      <c r="E318">
        <v>1</v>
      </c>
      <c r="F318">
        <v>0</v>
      </c>
      <c r="G318">
        <v>0</v>
      </c>
      <c r="H318">
        <v>620264.19999999995</v>
      </c>
    </row>
    <row r="319" spans="1:8">
      <c r="A319">
        <v>24088.06</v>
      </c>
      <c r="B319">
        <v>3466</v>
      </c>
      <c r="C319">
        <v>88</v>
      </c>
      <c r="D319">
        <v>3.8</v>
      </c>
      <c r="E319">
        <v>1</v>
      </c>
      <c r="F319">
        <v>0</v>
      </c>
      <c r="G319">
        <v>0</v>
      </c>
      <c r="H319">
        <v>536845.42000000004</v>
      </c>
    </row>
    <row r="320" spans="1:8">
      <c r="A320">
        <v>81902.58</v>
      </c>
      <c r="B320">
        <v>7775</v>
      </c>
      <c r="C320">
        <v>85.2</v>
      </c>
      <c r="D320">
        <v>4.2</v>
      </c>
      <c r="E320">
        <v>1</v>
      </c>
      <c r="F320">
        <v>0</v>
      </c>
      <c r="G320">
        <v>0</v>
      </c>
      <c r="H320">
        <v>726776.22</v>
      </c>
    </row>
    <row r="321" spans="1:8">
      <c r="A321">
        <v>40553.11</v>
      </c>
      <c r="B321">
        <v>5317</v>
      </c>
      <c r="C321">
        <v>84.3</v>
      </c>
      <c r="D321">
        <v>4.0999999999999996</v>
      </c>
      <c r="E321">
        <v>1</v>
      </c>
      <c r="F321">
        <v>0</v>
      </c>
      <c r="G321">
        <v>0</v>
      </c>
      <c r="H321">
        <v>559660.84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1"/>
  <sheetViews>
    <sheetView workbookViewId="0">
      <selection sqref="A1:H1"/>
    </sheetView>
  </sheetViews>
  <sheetFormatPr defaultRowHeight="14.4"/>
  <cols>
    <col min="1" max="1" width="17.77734375" customWidth="1"/>
    <col min="2" max="2" width="11" bestFit="1" customWidth="1"/>
    <col min="3" max="3" width="12.21875" bestFit="1" customWidth="1"/>
    <col min="4" max="4" width="11.77734375" bestFit="1" customWidth="1"/>
    <col min="5" max="5" width="17.77734375" customWidth="1"/>
    <col min="6" max="6" width="16.5546875" bestFit="1" customWidth="1"/>
    <col min="7" max="7" width="16.44140625" bestFit="1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28</v>
      </c>
      <c r="G1" t="s">
        <v>112</v>
      </c>
      <c r="H1" t="s">
        <v>38</v>
      </c>
    </row>
    <row r="2" spans="1:8">
      <c r="A2" t="s">
        <v>8</v>
      </c>
      <c r="B2">
        <f>IF(A2="East",1,0)</f>
        <v>1</v>
      </c>
      <c r="C2">
        <f>IF(A2="South",1,0)</f>
        <v>0</v>
      </c>
      <c r="D2">
        <f>IF(A2="West",1,0)</f>
        <v>0</v>
      </c>
      <c r="E2" t="s">
        <v>28</v>
      </c>
      <c r="F2">
        <f>IF(E2="Residential",1,0)</f>
        <v>1</v>
      </c>
      <c r="G2">
        <f>IF(E2="High Street",1,0)</f>
        <v>0</v>
      </c>
      <c r="H2">
        <f>IF(E2="Mall",1,0)</f>
        <v>0</v>
      </c>
    </row>
    <row r="3" spans="1:8">
      <c r="A3" t="s">
        <v>8</v>
      </c>
      <c r="B3">
        <f t="shared" ref="B3:B66" si="0">IF(A3="East",1,0)</f>
        <v>1</v>
      </c>
      <c r="C3">
        <f t="shared" ref="C3:C66" si="1">IF(A3="South",1,0)</f>
        <v>0</v>
      </c>
      <c r="D3">
        <f t="shared" ref="D3:D66" si="2">IF(A3="West",1,0)</f>
        <v>0</v>
      </c>
      <c r="E3" t="s">
        <v>28</v>
      </c>
      <c r="F3">
        <f t="shared" ref="F3:F66" si="3">IF(E3="Residential",1,0)</f>
        <v>1</v>
      </c>
      <c r="G3">
        <f t="shared" ref="G3:G66" si="4">IF(E3="High Street",1,0)</f>
        <v>0</v>
      </c>
      <c r="H3">
        <f t="shared" ref="H3:H66" si="5">IF(E3="Mall",1,0)</f>
        <v>0</v>
      </c>
    </row>
    <row r="4" spans="1:8">
      <c r="A4" t="s">
        <v>8</v>
      </c>
      <c r="B4">
        <f t="shared" si="0"/>
        <v>1</v>
      </c>
      <c r="C4">
        <f t="shared" si="1"/>
        <v>0</v>
      </c>
      <c r="D4">
        <f t="shared" si="2"/>
        <v>0</v>
      </c>
      <c r="E4" t="s">
        <v>28</v>
      </c>
      <c r="F4">
        <f t="shared" si="3"/>
        <v>1</v>
      </c>
      <c r="G4">
        <f t="shared" si="4"/>
        <v>0</v>
      </c>
      <c r="H4">
        <f t="shared" si="5"/>
        <v>0</v>
      </c>
    </row>
    <row r="5" spans="1:8">
      <c r="A5" t="s">
        <v>8</v>
      </c>
      <c r="B5">
        <f t="shared" si="0"/>
        <v>1</v>
      </c>
      <c r="C5">
        <f t="shared" si="1"/>
        <v>0</v>
      </c>
      <c r="D5">
        <f t="shared" si="2"/>
        <v>0</v>
      </c>
      <c r="E5" t="s">
        <v>28</v>
      </c>
      <c r="F5">
        <f t="shared" si="3"/>
        <v>1</v>
      </c>
      <c r="G5">
        <f t="shared" si="4"/>
        <v>0</v>
      </c>
      <c r="H5">
        <f t="shared" si="5"/>
        <v>0</v>
      </c>
    </row>
    <row r="6" spans="1:8">
      <c r="A6" t="s">
        <v>8</v>
      </c>
      <c r="B6">
        <f t="shared" si="0"/>
        <v>1</v>
      </c>
      <c r="C6">
        <f t="shared" si="1"/>
        <v>0</v>
      </c>
      <c r="D6">
        <f t="shared" si="2"/>
        <v>0</v>
      </c>
      <c r="E6" t="s">
        <v>30</v>
      </c>
      <c r="F6">
        <f t="shared" si="3"/>
        <v>0</v>
      </c>
      <c r="G6">
        <f t="shared" si="4"/>
        <v>1</v>
      </c>
      <c r="H6">
        <f t="shared" si="5"/>
        <v>0</v>
      </c>
    </row>
    <row r="7" spans="1:8">
      <c r="A7" t="s">
        <v>8</v>
      </c>
      <c r="B7">
        <f t="shared" si="0"/>
        <v>1</v>
      </c>
      <c r="C7">
        <f t="shared" si="1"/>
        <v>0</v>
      </c>
      <c r="D7">
        <f t="shared" si="2"/>
        <v>0</v>
      </c>
      <c r="E7" t="s">
        <v>30</v>
      </c>
      <c r="F7">
        <f t="shared" si="3"/>
        <v>0</v>
      </c>
      <c r="G7">
        <f t="shared" si="4"/>
        <v>1</v>
      </c>
      <c r="H7">
        <f t="shared" si="5"/>
        <v>0</v>
      </c>
    </row>
    <row r="8" spans="1:8">
      <c r="A8" t="s">
        <v>8</v>
      </c>
      <c r="B8">
        <f t="shared" si="0"/>
        <v>1</v>
      </c>
      <c r="C8">
        <f t="shared" si="1"/>
        <v>0</v>
      </c>
      <c r="D8">
        <f t="shared" si="2"/>
        <v>0</v>
      </c>
      <c r="E8" t="s">
        <v>30</v>
      </c>
      <c r="F8">
        <f t="shared" si="3"/>
        <v>0</v>
      </c>
      <c r="G8">
        <f t="shared" si="4"/>
        <v>1</v>
      </c>
      <c r="H8">
        <f t="shared" si="5"/>
        <v>0</v>
      </c>
    </row>
    <row r="9" spans="1:8">
      <c r="A9" t="s">
        <v>8</v>
      </c>
      <c r="B9">
        <f t="shared" si="0"/>
        <v>1</v>
      </c>
      <c r="C9">
        <f t="shared" si="1"/>
        <v>0</v>
      </c>
      <c r="D9">
        <f t="shared" si="2"/>
        <v>0</v>
      </c>
      <c r="E9" t="s">
        <v>30</v>
      </c>
      <c r="F9">
        <f t="shared" si="3"/>
        <v>0</v>
      </c>
      <c r="G9">
        <f t="shared" si="4"/>
        <v>1</v>
      </c>
      <c r="H9">
        <f t="shared" si="5"/>
        <v>0</v>
      </c>
    </row>
    <row r="10" spans="1:8">
      <c r="A10" t="s">
        <v>32</v>
      </c>
      <c r="B10">
        <f t="shared" si="0"/>
        <v>0</v>
      </c>
      <c r="C10">
        <f t="shared" si="1"/>
        <v>0</v>
      </c>
      <c r="D10">
        <f t="shared" si="2"/>
        <v>0</v>
      </c>
      <c r="E10" t="s">
        <v>33</v>
      </c>
      <c r="F10">
        <f t="shared" si="3"/>
        <v>0</v>
      </c>
      <c r="G10">
        <f t="shared" si="4"/>
        <v>0</v>
      </c>
      <c r="H10">
        <f t="shared" si="5"/>
        <v>0</v>
      </c>
    </row>
    <row r="11" spans="1:8">
      <c r="A11" t="s">
        <v>32</v>
      </c>
      <c r="B11">
        <f t="shared" si="0"/>
        <v>0</v>
      </c>
      <c r="C11">
        <f t="shared" si="1"/>
        <v>0</v>
      </c>
      <c r="D11">
        <f t="shared" si="2"/>
        <v>0</v>
      </c>
      <c r="E11" t="s">
        <v>33</v>
      </c>
      <c r="F11">
        <f t="shared" si="3"/>
        <v>0</v>
      </c>
      <c r="G11">
        <f t="shared" si="4"/>
        <v>0</v>
      </c>
      <c r="H11">
        <f t="shared" si="5"/>
        <v>0</v>
      </c>
    </row>
    <row r="12" spans="1:8">
      <c r="A12" t="s">
        <v>32</v>
      </c>
      <c r="B12">
        <f t="shared" si="0"/>
        <v>0</v>
      </c>
      <c r="C12">
        <f t="shared" si="1"/>
        <v>0</v>
      </c>
      <c r="D12">
        <f t="shared" si="2"/>
        <v>0</v>
      </c>
      <c r="E12" t="s">
        <v>33</v>
      </c>
      <c r="F12">
        <f t="shared" si="3"/>
        <v>0</v>
      </c>
      <c r="G12">
        <f t="shared" si="4"/>
        <v>0</v>
      </c>
      <c r="H12">
        <f t="shared" si="5"/>
        <v>0</v>
      </c>
    </row>
    <row r="13" spans="1:8">
      <c r="A13" t="s">
        <v>32</v>
      </c>
      <c r="B13">
        <f t="shared" si="0"/>
        <v>0</v>
      </c>
      <c r="C13">
        <f t="shared" si="1"/>
        <v>0</v>
      </c>
      <c r="D13">
        <f t="shared" si="2"/>
        <v>0</v>
      </c>
      <c r="E13" t="s">
        <v>33</v>
      </c>
      <c r="F13">
        <f t="shared" si="3"/>
        <v>0</v>
      </c>
      <c r="G13">
        <f t="shared" si="4"/>
        <v>0</v>
      </c>
      <c r="H13">
        <f t="shared" si="5"/>
        <v>0</v>
      </c>
    </row>
    <row r="14" spans="1:8">
      <c r="A14" t="s">
        <v>8</v>
      </c>
      <c r="B14">
        <f t="shared" si="0"/>
        <v>1</v>
      </c>
      <c r="C14">
        <f t="shared" si="1"/>
        <v>0</v>
      </c>
      <c r="D14">
        <f t="shared" si="2"/>
        <v>0</v>
      </c>
      <c r="E14" t="s">
        <v>28</v>
      </c>
      <c r="F14">
        <f t="shared" si="3"/>
        <v>1</v>
      </c>
      <c r="G14">
        <f t="shared" si="4"/>
        <v>0</v>
      </c>
      <c r="H14">
        <f t="shared" si="5"/>
        <v>0</v>
      </c>
    </row>
    <row r="15" spans="1:8">
      <c r="A15" t="s">
        <v>8</v>
      </c>
      <c r="B15">
        <f t="shared" si="0"/>
        <v>1</v>
      </c>
      <c r="C15">
        <f t="shared" si="1"/>
        <v>0</v>
      </c>
      <c r="D15">
        <f t="shared" si="2"/>
        <v>0</v>
      </c>
      <c r="E15" t="s">
        <v>28</v>
      </c>
      <c r="F15">
        <f t="shared" si="3"/>
        <v>1</v>
      </c>
      <c r="G15">
        <f t="shared" si="4"/>
        <v>0</v>
      </c>
      <c r="H15">
        <f t="shared" si="5"/>
        <v>0</v>
      </c>
    </row>
    <row r="16" spans="1:8">
      <c r="A16" t="s">
        <v>8</v>
      </c>
      <c r="B16">
        <f t="shared" si="0"/>
        <v>1</v>
      </c>
      <c r="C16">
        <f t="shared" si="1"/>
        <v>0</v>
      </c>
      <c r="D16">
        <f t="shared" si="2"/>
        <v>0</v>
      </c>
      <c r="E16" t="s">
        <v>28</v>
      </c>
      <c r="F16">
        <f t="shared" si="3"/>
        <v>1</v>
      </c>
      <c r="G16">
        <f t="shared" si="4"/>
        <v>0</v>
      </c>
      <c r="H16">
        <f t="shared" si="5"/>
        <v>0</v>
      </c>
    </row>
    <row r="17" spans="1:8">
      <c r="A17" t="s">
        <v>8</v>
      </c>
      <c r="B17">
        <f t="shared" si="0"/>
        <v>1</v>
      </c>
      <c r="C17">
        <f t="shared" si="1"/>
        <v>0</v>
      </c>
      <c r="D17">
        <f t="shared" si="2"/>
        <v>0</v>
      </c>
      <c r="E17" t="s">
        <v>28</v>
      </c>
      <c r="F17">
        <f t="shared" si="3"/>
        <v>1</v>
      </c>
      <c r="G17">
        <f t="shared" si="4"/>
        <v>0</v>
      </c>
      <c r="H17">
        <f t="shared" si="5"/>
        <v>0</v>
      </c>
    </row>
    <row r="18" spans="1:8">
      <c r="A18" t="s">
        <v>9</v>
      </c>
      <c r="B18">
        <f t="shared" si="0"/>
        <v>0</v>
      </c>
      <c r="C18">
        <f t="shared" si="1"/>
        <v>1</v>
      </c>
      <c r="D18">
        <f t="shared" si="2"/>
        <v>0</v>
      </c>
      <c r="E18" t="s">
        <v>28</v>
      </c>
      <c r="F18">
        <f t="shared" si="3"/>
        <v>1</v>
      </c>
      <c r="G18">
        <f t="shared" si="4"/>
        <v>0</v>
      </c>
      <c r="H18">
        <f t="shared" si="5"/>
        <v>0</v>
      </c>
    </row>
    <row r="19" spans="1:8">
      <c r="A19" t="s">
        <v>9</v>
      </c>
      <c r="B19">
        <f t="shared" si="0"/>
        <v>0</v>
      </c>
      <c r="C19">
        <f t="shared" si="1"/>
        <v>1</v>
      </c>
      <c r="D19">
        <f t="shared" si="2"/>
        <v>0</v>
      </c>
      <c r="E19" t="s">
        <v>28</v>
      </c>
      <c r="F19">
        <f t="shared" si="3"/>
        <v>1</v>
      </c>
      <c r="G19">
        <f t="shared" si="4"/>
        <v>0</v>
      </c>
      <c r="H19">
        <f t="shared" si="5"/>
        <v>0</v>
      </c>
    </row>
    <row r="20" spans="1:8">
      <c r="A20" t="s">
        <v>9</v>
      </c>
      <c r="B20">
        <f t="shared" si="0"/>
        <v>0</v>
      </c>
      <c r="C20">
        <f t="shared" si="1"/>
        <v>1</v>
      </c>
      <c r="D20">
        <f t="shared" si="2"/>
        <v>0</v>
      </c>
      <c r="E20" t="s">
        <v>28</v>
      </c>
      <c r="F20">
        <f t="shared" si="3"/>
        <v>1</v>
      </c>
      <c r="G20">
        <f t="shared" si="4"/>
        <v>0</v>
      </c>
      <c r="H20">
        <f t="shared" si="5"/>
        <v>0</v>
      </c>
    </row>
    <row r="21" spans="1:8">
      <c r="A21" t="s">
        <v>9</v>
      </c>
      <c r="B21">
        <f t="shared" si="0"/>
        <v>0</v>
      </c>
      <c r="C21">
        <f t="shared" si="1"/>
        <v>1</v>
      </c>
      <c r="D21">
        <f t="shared" si="2"/>
        <v>0</v>
      </c>
      <c r="E21" t="s">
        <v>28</v>
      </c>
      <c r="F21">
        <f t="shared" si="3"/>
        <v>1</v>
      </c>
      <c r="G21">
        <f t="shared" si="4"/>
        <v>0</v>
      </c>
      <c r="H21">
        <f t="shared" si="5"/>
        <v>0</v>
      </c>
    </row>
    <row r="22" spans="1:8">
      <c r="A22" t="s">
        <v>32</v>
      </c>
      <c r="B22">
        <f t="shared" si="0"/>
        <v>0</v>
      </c>
      <c r="C22">
        <f t="shared" si="1"/>
        <v>0</v>
      </c>
      <c r="D22">
        <f t="shared" si="2"/>
        <v>0</v>
      </c>
      <c r="E22" t="s">
        <v>28</v>
      </c>
      <c r="F22">
        <f t="shared" si="3"/>
        <v>1</v>
      </c>
      <c r="G22">
        <f t="shared" si="4"/>
        <v>0</v>
      </c>
      <c r="H22">
        <f t="shared" si="5"/>
        <v>0</v>
      </c>
    </row>
    <row r="23" spans="1:8">
      <c r="A23" t="s">
        <v>32</v>
      </c>
      <c r="B23">
        <f t="shared" si="0"/>
        <v>0</v>
      </c>
      <c r="C23">
        <f t="shared" si="1"/>
        <v>0</v>
      </c>
      <c r="D23">
        <f t="shared" si="2"/>
        <v>0</v>
      </c>
      <c r="E23" t="s">
        <v>28</v>
      </c>
      <c r="F23">
        <f t="shared" si="3"/>
        <v>1</v>
      </c>
      <c r="G23">
        <f t="shared" si="4"/>
        <v>0</v>
      </c>
      <c r="H23">
        <f t="shared" si="5"/>
        <v>0</v>
      </c>
    </row>
    <row r="24" spans="1:8">
      <c r="A24" t="s">
        <v>32</v>
      </c>
      <c r="B24">
        <f t="shared" si="0"/>
        <v>0</v>
      </c>
      <c r="C24">
        <f t="shared" si="1"/>
        <v>0</v>
      </c>
      <c r="D24">
        <f t="shared" si="2"/>
        <v>0</v>
      </c>
      <c r="E24" t="s">
        <v>28</v>
      </c>
      <c r="F24">
        <f t="shared" si="3"/>
        <v>1</v>
      </c>
      <c r="G24">
        <f t="shared" si="4"/>
        <v>0</v>
      </c>
      <c r="H24">
        <f t="shared" si="5"/>
        <v>0</v>
      </c>
    </row>
    <row r="25" spans="1:8">
      <c r="A25" t="s">
        <v>32</v>
      </c>
      <c r="B25">
        <f t="shared" si="0"/>
        <v>0</v>
      </c>
      <c r="C25">
        <f t="shared" si="1"/>
        <v>0</v>
      </c>
      <c r="D25">
        <f t="shared" si="2"/>
        <v>0</v>
      </c>
      <c r="E25" t="s">
        <v>28</v>
      </c>
      <c r="F25">
        <f t="shared" si="3"/>
        <v>1</v>
      </c>
      <c r="G25">
        <f t="shared" si="4"/>
        <v>0</v>
      </c>
      <c r="H25">
        <f t="shared" si="5"/>
        <v>0</v>
      </c>
    </row>
    <row r="26" spans="1:8">
      <c r="A26" t="s">
        <v>10</v>
      </c>
      <c r="B26">
        <f t="shared" si="0"/>
        <v>0</v>
      </c>
      <c r="C26">
        <f t="shared" si="1"/>
        <v>0</v>
      </c>
      <c r="D26">
        <f t="shared" si="2"/>
        <v>1</v>
      </c>
      <c r="E26" t="s">
        <v>38</v>
      </c>
      <c r="F26">
        <f t="shared" si="3"/>
        <v>0</v>
      </c>
      <c r="G26">
        <f t="shared" si="4"/>
        <v>0</v>
      </c>
      <c r="H26">
        <f t="shared" si="5"/>
        <v>1</v>
      </c>
    </row>
    <row r="27" spans="1:8">
      <c r="A27" t="s">
        <v>10</v>
      </c>
      <c r="B27">
        <f t="shared" si="0"/>
        <v>0</v>
      </c>
      <c r="C27">
        <f t="shared" si="1"/>
        <v>0</v>
      </c>
      <c r="D27">
        <f t="shared" si="2"/>
        <v>1</v>
      </c>
      <c r="E27" t="s">
        <v>38</v>
      </c>
      <c r="F27">
        <f t="shared" si="3"/>
        <v>0</v>
      </c>
      <c r="G27">
        <f t="shared" si="4"/>
        <v>0</v>
      </c>
      <c r="H27">
        <f t="shared" si="5"/>
        <v>1</v>
      </c>
    </row>
    <row r="28" spans="1:8">
      <c r="A28" t="s">
        <v>10</v>
      </c>
      <c r="B28">
        <f t="shared" si="0"/>
        <v>0</v>
      </c>
      <c r="C28">
        <f t="shared" si="1"/>
        <v>0</v>
      </c>
      <c r="D28">
        <f t="shared" si="2"/>
        <v>1</v>
      </c>
      <c r="E28" t="s">
        <v>38</v>
      </c>
      <c r="F28">
        <f t="shared" si="3"/>
        <v>0</v>
      </c>
      <c r="G28">
        <f t="shared" si="4"/>
        <v>0</v>
      </c>
      <c r="H28">
        <f t="shared" si="5"/>
        <v>1</v>
      </c>
    </row>
    <row r="29" spans="1:8">
      <c r="A29" t="s">
        <v>10</v>
      </c>
      <c r="B29">
        <f t="shared" si="0"/>
        <v>0</v>
      </c>
      <c r="C29">
        <f t="shared" si="1"/>
        <v>0</v>
      </c>
      <c r="D29">
        <f t="shared" si="2"/>
        <v>1</v>
      </c>
      <c r="E29" t="s">
        <v>38</v>
      </c>
      <c r="F29">
        <f t="shared" si="3"/>
        <v>0</v>
      </c>
      <c r="G29">
        <f t="shared" si="4"/>
        <v>0</v>
      </c>
      <c r="H29">
        <f t="shared" si="5"/>
        <v>1</v>
      </c>
    </row>
    <row r="30" spans="1:8">
      <c r="A30" t="s">
        <v>8</v>
      </c>
      <c r="B30">
        <f t="shared" si="0"/>
        <v>1</v>
      </c>
      <c r="C30">
        <f t="shared" si="1"/>
        <v>0</v>
      </c>
      <c r="D30">
        <f t="shared" si="2"/>
        <v>0</v>
      </c>
      <c r="E30" t="s">
        <v>28</v>
      </c>
      <c r="F30">
        <f t="shared" si="3"/>
        <v>1</v>
      </c>
      <c r="G30">
        <f t="shared" si="4"/>
        <v>0</v>
      </c>
      <c r="H30">
        <f t="shared" si="5"/>
        <v>0</v>
      </c>
    </row>
    <row r="31" spans="1:8">
      <c r="A31" t="s">
        <v>8</v>
      </c>
      <c r="B31">
        <f t="shared" si="0"/>
        <v>1</v>
      </c>
      <c r="C31">
        <f t="shared" si="1"/>
        <v>0</v>
      </c>
      <c r="D31">
        <f t="shared" si="2"/>
        <v>0</v>
      </c>
      <c r="E31" t="s">
        <v>28</v>
      </c>
      <c r="F31">
        <f t="shared" si="3"/>
        <v>1</v>
      </c>
      <c r="G31">
        <f t="shared" si="4"/>
        <v>0</v>
      </c>
      <c r="H31">
        <f t="shared" si="5"/>
        <v>0</v>
      </c>
    </row>
    <row r="32" spans="1:8">
      <c r="A32" t="s">
        <v>8</v>
      </c>
      <c r="B32">
        <f t="shared" si="0"/>
        <v>1</v>
      </c>
      <c r="C32">
        <f t="shared" si="1"/>
        <v>0</v>
      </c>
      <c r="D32">
        <f t="shared" si="2"/>
        <v>0</v>
      </c>
      <c r="E32" t="s">
        <v>28</v>
      </c>
      <c r="F32">
        <f t="shared" si="3"/>
        <v>1</v>
      </c>
      <c r="G32">
        <f t="shared" si="4"/>
        <v>0</v>
      </c>
      <c r="H32">
        <f t="shared" si="5"/>
        <v>0</v>
      </c>
    </row>
    <row r="33" spans="1:8">
      <c r="A33" t="s">
        <v>8</v>
      </c>
      <c r="B33">
        <f t="shared" si="0"/>
        <v>1</v>
      </c>
      <c r="C33">
        <f t="shared" si="1"/>
        <v>0</v>
      </c>
      <c r="D33">
        <f t="shared" si="2"/>
        <v>0</v>
      </c>
      <c r="E33" t="s">
        <v>28</v>
      </c>
      <c r="F33">
        <f t="shared" si="3"/>
        <v>1</v>
      </c>
      <c r="G33">
        <f t="shared" si="4"/>
        <v>0</v>
      </c>
      <c r="H33">
        <f t="shared" si="5"/>
        <v>0</v>
      </c>
    </row>
    <row r="34" spans="1:8">
      <c r="A34" t="s">
        <v>32</v>
      </c>
      <c r="B34">
        <f t="shared" si="0"/>
        <v>0</v>
      </c>
      <c r="C34">
        <f t="shared" si="1"/>
        <v>0</v>
      </c>
      <c r="D34">
        <f t="shared" si="2"/>
        <v>0</v>
      </c>
      <c r="E34" t="s">
        <v>28</v>
      </c>
      <c r="F34">
        <f t="shared" si="3"/>
        <v>1</v>
      </c>
      <c r="G34">
        <f t="shared" si="4"/>
        <v>0</v>
      </c>
      <c r="H34">
        <f t="shared" si="5"/>
        <v>0</v>
      </c>
    </row>
    <row r="35" spans="1:8">
      <c r="A35" t="s">
        <v>32</v>
      </c>
      <c r="B35">
        <f t="shared" si="0"/>
        <v>0</v>
      </c>
      <c r="C35">
        <f t="shared" si="1"/>
        <v>0</v>
      </c>
      <c r="D35">
        <f t="shared" si="2"/>
        <v>0</v>
      </c>
      <c r="E35" t="s">
        <v>28</v>
      </c>
      <c r="F35">
        <f t="shared" si="3"/>
        <v>1</v>
      </c>
      <c r="G35">
        <f t="shared" si="4"/>
        <v>0</v>
      </c>
      <c r="H35">
        <f t="shared" si="5"/>
        <v>0</v>
      </c>
    </row>
    <row r="36" spans="1:8">
      <c r="A36" t="s">
        <v>32</v>
      </c>
      <c r="B36">
        <f t="shared" si="0"/>
        <v>0</v>
      </c>
      <c r="C36">
        <f t="shared" si="1"/>
        <v>0</v>
      </c>
      <c r="D36">
        <f t="shared" si="2"/>
        <v>0</v>
      </c>
      <c r="E36" t="s">
        <v>28</v>
      </c>
      <c r="F36">
        <f t="shared" si="3"/>
        <v>1</v>
      </c>
      <c r="G36">
        <f t="shared" si="4"/>
        <v>0</v>
      </c>
      <c r="H36">
        <f t="shared" si="5"/>
        <v>0</v>
      </c>
    </row>
    <row r="37" spans="1:8">
      <c r="A37" t="s">
        <v>32</v>
      </c>
      <c r="B37">
        <f t="shared" si="0"/>
        <v>0</v>
      </c>
      <c r="C37">
        <f t="shared" si="1"/>
        <v>0</v>
      </c>
      <c r="D37">
        <f t="shared" si="2"/>
        <v>0</v>
      </c>
      <c r="E37" t="s">
        <v>28</v>
      </c>
      <c r="F37">
        <f t="shared" si="3"/>
        <v>1</v>
      </c>
      <c r="G37">
        <f t="shared" si="4"/>
        <v>0</v>
      </c>
      <c r="H37">
        <f t="shared" si="5"/>
        <v>0</v>
      </c>
    </row>
    <row r="38" spans="1:8">
      <c r="A38" t="s">
        <v>32</v>
      </c>
      <c r="B38">
        <f t="shared" si="0"/>
        <v>0</v>
      </c>
      <c r="C38">
        <f t="shared" si="1"/>
        <v>0</v>
      </c>
      <c r="D38">
        <f t="shared" si="2"/>
        <v>0</v>
      </c>
      <c r="E38" t="s">
        <v>38</v>
      </c>
      <c r="F38">
        <f t="shared" si="3"/>
        <v>0</v>
      </c>
      <c r="G38">
        <f t="shared" si="4"/>
        <v>0</v>
      </c>
      <c r="H38">
        <f t="shared" si="5"/>
        <v>1</v>
      </c>
    </row>
    <row r="39" spans="1:8">
      <c r="A39" t="s">
        <v>32</v>
      </c>
      <c r="B39">
        <f t="shared" si="0"/>
        <v>0</v>
      </c>
      <c r="C39">
        <f t="shared" si="1"/>
        <v>0</v>
      </c>
      <c r="D39">
        <f t="shared" si="2"/>
        <v>0</v>
      </c>
      <c r="E39" t="s">
        <v>38</v>
      </c>
      <c r="F39">
        <f t="shared" si="3"/>
        <v>0</v>
      </c>
      <c r="G39">
        <f t="shared" si="4"/>
        <v>0</v>
      </c>
      <c r="H39">
        <f t="shared" si="5"/>
        <v>1</v>
      </c>
    </row>
    <row r="40" spans="1:8">
      <c r="A40" t="s">
        <v>32</v>
      </c>
      <c r="B40">
        <f t="shared" si="0"/>
        <v>0</v>
      </c>
      <c r="C40">
        <f t="shared" si="1"/>
        <v>0</v>
      </c>
      <c r="D40">
        <f t="shared" si="2"/>
        <v>0</v>
      </c>
      <c r="E40" t="s">
        <v>38</v>
      </c>
      <c r="F40">
        <f t="shared" si="3"/>
        <v>0</v>
      </c>
      <c r="G40">
        <f t="shared" si="4"/>
        <v>0</v>
      </c>
      <c r="H40">
        <f t="shared" si="5"/>
        <v>1</v>
      </c>
    </row>
    <row r="41" spans="1:8">
      <c r="A41" t="s">
        <v>32</v>
      </c>
      <c r="B41">
        <f t="shared" si="0"/>
        <v>0</v>
      </c>
      <c r="C41">
        <f t="shared" si="1"/>
        <v>0</v>
      </c>
      <c r="D41">
        <f t="shared" si="2"/>
        <v>0</v>
      </c>
      <c r="E41" t="s">
        <v>38</v>
      </c>
      <c r="F41">
        <f t="shared" si="3"/>
        <v>0</v>
      </c>
      <c r="G41">
        <f t="shared" si="4"/>
        <v>0</v>
      </c>
      <c r="H41">
        <f t="shared" si="5"/>
        <v>1</v>
      </c>
    </row>
    <row r="42" spans="1:8">
      <c r="A42" t="s">
        <v>8</v>
      </c>
      <c r="B42">
        <f t="shared" si="0"/>
        <v>1</v>
      </c>
      <c r="C42">
        <f t="shared" si="1"/>
        <v>0</v>
      </c>
      <c r="D42">
        <f t="shared" si="2"/>
        <v>0</v>
      </c>
      <c r="E42" t="s">
        <v>38</v>
      </c>
      <c r="F42">
        <f t="shared" si="3"/>
        <v>0</v>
      </c>
      <c r="G42">
        <f t="shared" si="4"/>
        <v>0</v>
      </c>
      <c r="H42">
        <f t="shared" si="5"/>
        <v>1</v>
      </c>
    </row>
    <row r="43" spans="1:8">
      <c r="A43" t="s">
        <v>8</v>
      </c>
      <c r="B43">
        <f t="shared" si="0"/>
        <v>1</v>
      </c>
      <c r="C43">
        <f t="shared" si="1"/>
        <v>0</v>
      </c>
      <c r="D43">
        <f t="shared" si="2"/>
        <v>0</v>
      </c>
      <c r="E43" t="s">
        <v>38</v>
      </c>
      <c r="F43">
        <f t="shared" si="3"/>
        <v>0</v>
      </c>
      <c r="G43">
        <f t="shared" si="4"/>
        <v>0</v>
      </c>
      <c r="H43">
        <f t="shared" si="5"/>
        <v>1</v>
      </c>
    </row>
    <row r="44" spans="1:8">
      <c r="A44" t="s">
        <v>8</v>
      </c>
      <c r="B44">
        <f t="shared" si="0"/>
        <v>1</v>
      </c>
      <c r="C44">
        <f t="shared" si="1"/>
        <v>0</v>
      </c>
      <c r="D44">
        <f t="shared" si="2"/>
        <v>0</v>
      </c>
      <c r="E44" t="s">
        <v>38</v>
      </c>
      <c r="F44">
        <f t="shared" si="3"/>
        <v>0</v>
      </c>
      <c r="G44">
        <f t="shared" si="4"/>
        <v>0</v>
      </c>
      <c r="H44">
        <f t="shared" si="5"/>
        <v>1</v>
      </c>
    </row>
    <row r="45" spans="1:8">
      <c r="A45" t="s">
        <v>8</v>
      </c>
      <c r="B45">
        <f t="shared" si="0"/>
        <v>1</v>
      </c>
      <c r="C45">
        <f t="shared" si="1"/>
        <v>0</v>
      </c>
      <c r="D45">
        <f t="shared" si="2"/>
        <v>0</v>
      </c>
      <c r="E45" t="s">
        <v>38</v>
      </c>
      <c r="F45">
        <f t="shared" si="3"/>
        <v>0</v>
      </c>
      <c r="G45">
        <f t="shared" si="4"/>
        <v>0</v>
      </c>
      <c r="H45">
        <f t="shared" si="5"/>
        <v>1</v>
      </c>
    </row>
    <row r="46" spans="1:8">
      <c r="A46" t="s">
        <v>10</v>
      </c>
      <c r="B46">
        <f t="shared" si="0"/>
        <v>0</v>
      </c>
      <c r="C46">
        <f t="shared" si="1"/>
        <v>0</v>
      </c>
      <c r="D46">
        <f t="shared" si="2"/>
        <v>1</v>
      </c>
      <c r="E46" t="s">
        <v>28</v>
      </c>
      <c r="F46">
        <f t="shared" si="3"/>
        <v>1</v>
      </c>
      <c r="G46">
        <f t="shared" si="4"/>
        <v>0</v>
      </c>
      <c r="H46">
        <f t="shared" si="5"/>
        <v>0</v>
      </c>
    </row>
    <row r="47" spans="1:8">
      <c r="A47" t="s">
        <v>10</v>
      </c>
      <c r="B47">
        <f t="shared" si="0"/>
        <v>0</v>
      </c>
      <c r="C47">
        <f t="shared" si="1"/>
        <v>0</v>
      </c>
      <c r="D47">
        <f t="shared" si="2"/>
        <v>1</v>
      </c>
      <c r="E47" t="s">
        <v>28</v>
      </c>
      <c r="F47">
        <f t="shared" si="3"/>
        <v>1</v>
      </c>
      <c r="G47">
        <f t="shared" si="4"/>
        <v>0</v>
      </c>
      <c r="H47">
        <f t="shared" si="5"/>
        <v>0</v>
      </c>
    </row>
    <row r="48" spans="1:8">
      <c r="A48" t="s">
        <v>10</v>
      </c>
      <c r="B48">
        <f t="shared" si="0"/>
        <v>0</v>
      </c>
      <c r="C48">
        <f t="shared" si="1"/>
        <v>0</v>
      </c>
      <c r="D48">
        <f t="shared" si="2"/>
        <v>1</v>
      </c>
      <c r="E48" t="s">
        <v>28</v>
      </c>
      <c r="F48">
        <f t="shared" si="3"/>
        <v>1</v>
      </c>
      <c r="G48">
        <f t="shared" si="4"/>
        <v>0</v>
      </c>
      <c r="H48">
        <f t="shared" si="5"/>
        <v>0</v>
      </c>
    </row>
    <row r="49" spans="1:8">
      <c r="A49" t="s">
        <v>10</v>
      </c>
      <c r="B49">
        <f t="shared" si="0"/>
        <v>0</v>
      </c>
      <c r="C49">
        <f t="shared" si="1"/>
        <v>0</v>
      </c>
      <c r="D49">
        <f t="shared" si="2"/>
        <v>1</v>
      </c>
      <c r="E49" t="s">
        <v>28</v>
      </c>
      <c r="F49">
        <f t="shared" si="3"/>
        <v>1</v>
      </c>
      <c r="G49">
        <f t="shared" si="4"/>
        <v>0</v>
      </c>
      <c r="H49">
        <f t="shared" si="5"/>
        <v>0</v>
      </c>
    </row>
    <row r="50" spans="1:8">
      <c r="A50" t="s">
        <v>32</v>
      </c>
      <c r="B50">
        <f t="shared" si="0"/>
        <v>0</v>
      </c>
      <c r="C50">
        <f t="shared" si="1"/>
        <v>0</v>
      </c>
      <c r="D50">
        <f t="shared" si="2"/>
        <v>0</v>
      </c>
      <c r="E50" t="s">
        <v>38</v>
      </c>
      <c r="F50">
        <f t="shared" si="3"/>
        <v>0</v>
      </c>
      <c r="G50">
        <f t="shared" si="4"/>
        <v>0</v>
      </c>
      <c r="H50">
        <f t="shared" si="5"/>
        <v>1</v>
      </c>
    </row>
    <row r="51" spans="1:8">
      <c r="A51" t="s">
        <v>32</v>
      </c>
      <c r="B51">
        <f t="shared" si="0"/>
        <v>0</v>
      </c>
      <c r="C51">
        <f t="shared" si="1"/>
        <v>0</v>
      </c>
      <c r="D51">
        <f t="shared" si="2"/>
        <v>0</v>
      </c>
      <c r="E51" t="s">
        <v>38</v>
      </c>
      <c r="F51">
        <f t="shared" si="3"/>
        <v>0</v>
      </c>
      <c r="G51">
        <f t="shared" si="4"/>
        <v>0</v>
      </c>
      <c r="H51">
        <f t="shared" si="5"/>
        <v>1</v>
      </c>
    </row>
    <row r="52" spans="1:8">
      <c r="A52" t="s">
        <v>32</v>
      </c>
      <c r="B52">
        <f t="shared" si="0"/>
        <v>0</v>
      </c>
      <c r="C52">
        <f t="shared" si="1"/>
        <v>0</v>
      </c>
      <c r="D52">
        <f t="shared" si="2"/>
        <v>0</v>
      </c>
      <c r="E52" t="s">
        <v>38</v>
      </c>
      <c r="F52">
        <f t="shared" si="3"/>
        <v>0</v>
      </c>
      <c r="G52">
        <f t="shared" si="4"/>
        <v>0</v>
      </c>
      <c r="H52">
        <f t="shared" si="5"/>
        <v>1</v>
      </c>
    </row>
    <row r="53" spans="1:8">
      <c r="A53" t="s">
        <v>32</v>
      </c>
      <c r="B53">
        <f t="shared" si="0"/>
        <v>0</v>
      </c>
      <c r="C53">
        <f t="shared" si="1"/>
        <v>0</v>
      </c>
      <c r="D53">
        <f t="shared" si="2"/>
        <v>0</v>
      </c>
      <c r="E53" t="s">
        <v>38</v>
      </c>
      <c r="F53">
        <f t="shared" si="3"/>
        <v>0</v>
      </c>
      <c r="G53">
        <f t="shared" si="4"/>
        <v>0</v>
      </c>
      <c r="H53">
        <f t="shared" si="5"/>
        <v>1</v>
      </c>
    </row>
    <row r="54" spans="1:8">
      <c r="A54" t="s">
        <v>10</v>
      </c>
      <c r="B54">
        <f t="shared" si="0"/>
        <v>0</v>
      </c>
      <c r="C54">
        <f t="shared" si="1"/>
        <v>0</v>
      </c>
      <c r="D54">
        <f t="shared" si="2"/>
        <v>1</v>
      </c>
      <c r="E54" t="s">
        <v>30</v>
      </c>
      <c r="F54">
        <f t="shared" si="3"/>
        <v>0</v>
      </c>
      <c r="G54">
        <f t="shared" si="4"/>
        <v>1</v>
      </c>
      <c r="H54">
        <f t="shared" si="5"/>
        <v>0</v>
      </c>
    </row>
    <row r="55" spans="1:8">
      <c r="A55" t="s">
        <v>10</v>
      </c>
      <c r="B55">
        <f t="shared" si="0"/>
        <v>0</v>
      </c>
      <c r="C55">
        <f t="shared" si="1"/>
        <v>0</v>
      </c>
      <c r="D55">
        <f t="shared" si="2"/>
        <v>1</v>
      </c>
      <c r="E55" t="s">
        <v>30</v>
      </c>
      <c r="F55">
        <f t="shared" si="3"/>
        <v>0</v>
      </c>
      <c r="G55">
        <f t="shared" si="4"/>
        <v>1</v>
      </c>
      <c r="H55">
        <f t="shared" si="5"/>
        <v>0</v>
      </c>
    </row>
    <row r="56" spans="1:8">
      <c r="A56" t="s">
        <v>10</v>
      </c>
      <c r="B56">
        <f t="shared" si="0"/>
        <v>0</v>
      </c>
      <c r="C56">
        <f t="shared" si="1"/>
        <v>0</v>
      </c>
      <c r="D56">
        <f t="shared" si="2"/>
        <v>1</v>
      </c>
      <c r="E56" t="s">
        <v>30</v>
      </c>
      <c r="F56">
        <f t="shared" si="3"/>
        <v>0</v>
      </c>
      <c r="G56">
        <f t="shared" si="4"/>
        <v>1</v>
      </c>
      <c r="H56">
        <f t="shared" si="5"/>
        <v>0</v>
      </c>
    </row>
    <row r="57" spans="1:8">
      <c r="A57" t="s">
        <v>10</v>
      </c>
      <c r="B57">
        <f t="shared" si="0"/>
        <v>0</v>
      </c>
      <c r="C57">
        <f t="shared" si="1"/>
        <v>0</v>
      </c>
      <c r="D57">
        <f t="shared" si="2"/>
        <v>1</v>
      </c>
      <c r="E57" t="s">
        <v>30</v>
      </c>
      <c r="F57">
        <f t="shared" si="3"/>
        <v>0</v>
      </c>
      <c r="G57">
        <f t="shared" si="4"/>
        <v>1</v>
      </c>
      <c r="H57">
        <f t="shared" si="5"/>
        <v>0</v>
      </c>
    </row>
    <row r="58" spans="1:8">
      <c r="A58" t="s">
        <v>8</v>
      </c>
      <c r="B58">
        <f t="shared" si="0"/>
        <v>1</v>
      </c>
      <c r="C58">
        <f t="shared" si="1"/>
        <v>0</v>
      </c>
      <c r="D58">
        <f t="shared" si="2"/>
        <v>0</v>
      </c>
      <c r="E58" t="s">
        <v>33</v>
      </c>
      <c r="F58">
        <f t="shared" si="3"/>
        <v>0</v>
      </c>
      <c r="G58">
        <f t="shared" si="4"/>
        <v>0</v>
      </c>
      <c r="H58">
        <f t="shared" si="5"/>
        <v>0</v>
      </c>
    </row>
    <row r="59" spans="1:8">
      <c r="A59" t="s">
        <v>8</v>
      </c>
      <c r="B59">
        <f t="shared" si="0"/>
        <v>1</v>
      </c>
      <c r="C59">
        <f t="shared" si="1"/>
        <v>0</v>
      </c>
      <c r="D59">
        <f t="shared" si="2"/>
        <v>0</v>
      </c>
      <c r="E59" t="s">
        <v>33</v>
      </c>
      <c r="F59">
        <f t="shared" si="3"/>
        <v>0</v>
      </c>
      <c r="G59">
        <f t="shared" si="4"/>
        <v>0</v>
      </c>
      <c r="H59">
        <f t="shared" si="5"/>
        <v>0</v>
      </c>
    </row>
    <row r="60" spans="1:8">
      <c r="A60" t="s">
        <v>8</v>
      </c>
      <c r="B60">
        <f t="shared" si="0"/>
        <v>1</v>
      </c>
      <c r="C60">
        <f t="shared" si="1"/>
        <v>0</v>
      </c>
      <c r="D60">
        <f t="shared" si="2"/>
        <v>0</v>
      </c>
      <c r="E60" t="s">
        <v>33</v>
      </c>
      <c r="F60">
        <f t="shared" si="3"/>
        <v>0</v>
      </c>
      <c r="G60">
        <f t="shared" si="4"/>
        <v>0</v>
      </c>
      <c r="H60">
        <f t="shared" si="5"/>
        <v>0</v>
      </c>
    </row>
    <row r="61" spans="1:8">
      <c r="A61" t="s">
        <v>8</v>
      </c>
      <c r="B61">
        <f t="shared" si="0"/>
        <v>1</v>
      </c>
      <c r="C61">
        <f t="shared" si="1"/>
        <v>0</v>
      </c>
      <c r="D61">
        <f t="shared" si="2"/>
        <v>0</v>
      </c>
      <c r="E61" t="s">
        <v>33</v>
      </c>
      <c r="F61">
        <f t="shared" si="3"/>
        <v>0</v>
      </c>
      <c r="G61">
        <f t="shared" si="4"/>
        <v>0</v>
      </c>
      <c r="H61">
        <f t="shared" si="5"/>
        <v>0</v>
      </c>
    </row>
    <row r="62" spans="1:8">
      <c r="A62" t="s">
        <v>9</v>
      </c>
      <c r="B62">
        <f t="shared" si="0"/>
        <v>0</v>
      </c>
      <c r="C62">
        <f t="shared" si="1"/>
        <v>1</v>
      </c>
      <c r="D62">
        <f t="shared" si="2"/>
        <v>0</v>
      </c>
      <c r="E62" t="s">
        <v>30</v>
      </c>
      <c r="F62">
        <f t="shared" si="3"/>
        <v>0</v>
      </c>
      <c r="G62">
        <f t="shared" si="4"/>
        <v>1</v>
      </c>
      <c r="H62">
        <f t="shared" si="5"/>
        <v>0</v>
      </c>
    </row>
    <row r="63" spans="1:8">
      <c r="A63" t="s">
        <v>9</v>
      </c>
      <c r="B63">
        <f t="shared" si="0"/>
        <v>0</v>
      </c>
      <c r="C63">
        <f t="shared" si="1"/>
        <v>1</v>
      </c>
      <c r="D63">
        <f t="shared" si="2"/>
        <v>0</v>
      </c>
      <c r="E63" t="s">
        <v>30</v>
      </c>
      <c r="F63">
        <f t="shared" si="3"/>
        <v>0</v>
      </c>
      <c r="G63">
        <f t="shared" si="4"/>
        <v>1</v>
      </c>
      <c r="H63">
        <f t="shared" si="5"/>
        <v>0</v>
      </c>
    </row>
    <row r="64" spans="1:8">
      <c r="A64" t="s">
        <v>9</v>
      </c>
      <c r="B64">
        <f t="shared" si="0"/>
        <v>0</v>
      </c>
      <c r="C64">
        <f t="shared" si="1"/>
        <v>1</v>
      </c>
      <c r="D64">
        <f t="shared" si="2"/>
        <v>0</v>
      </c>
      <c r="E64" t="s">
        <v>30</v>
      </c>
      <c r="F64">
        <f t="shared" si="3"/>
        <v>0</v>
      </c>
      <c r="G64">
        <f t="shared" si="4"/>
        <v>1</v>
      </c>
      <c r="H64">
        <f t="shared" si="5"/>
        <v>0</v>
      </c>
    </row>
    <row r="65" spans="1:8">
      <c r="A65" t="s">
        <v>9</v>
      </c>
      <c r="B65">
        <f t="shared" si="0"/>
        <v>0</v>
      </c>
      <c r="C65">
        <f t="shared" si="1"/>
        <v>1</v>
      </c>
      <c r="D65">
        <f t="shared" si="2"/>
        <v>0</v>
      </c>
      <c r="E65" t="s">
        <v>30</v>
      </c>
      <c r="F65">
        <f t="shared" si="3"/>
        <v>0</v>
      </c>
      <c r="G65">
        <f t="shared" si="4"/>
        <v>1</v>
      </c>
      <c r="H65">
        <f t="shared" si="5"/>
        <v>0</v>
      </c>
    </row>
    <row r="66" spans="1:8">
      <c r="A66" t="s">
        <v>10</v>
      </c>
      <c r="B66">
        <f t="shared" si="0"/>
        <v>0</v>
      </c>
      <c r="C66">
        <f t="shared" si="1"/>
        <v>0</v>
      </c>
      <c r="D66">
        <f t="shared" si="2"/>
        <v>1</v>
      </c>
      <c r="E66" t="s">
        <v>30</v>
      </c>
      <c r="F66">
        <f t="shared" si="3"/>
        <v>0</v>
      </c>
      <c r="G66">
        <f t="shared" si="4"/>
        <v>1</v>
      </c>
      <c r="H66">
        <f t="shared" si="5"/>
        <v>0</v>
      </c>
    </row>
    <row r="67" spans="1:8">
      <c r="A67" t="s">
        <v>10</v>
      </c>
      <c r="B67">
        <f t="shared" ref="B67:B130" si="6">IF(A67="East",1,0)</f>
        <v>0</v>
      </c>
      <c r="C67">
        <f t="shared" ref="C67:C130" si="7">IF(A67="South",1,0)</f>
        <v>0</v>
      </c>
      <c r="D67">
        <f t="shared" ref="D67:D130" si="8">IF(A67="West",1,0)</f>
        <v>1</v>
      </c>
      <c r="E67" t="s">
        <v>30</v>
      </c>
      <c r="F67">
        <f t="shared" ref="F67:F130" si="9">IF(E67="Residential",1,0)</f>
        <v>0</v>
      </c>
      <c r="G67">
        <f t="shared" ref="G67:G130" si="10">IF(E67="High Street",1,0)</f>
        <v>1</v>
      </c>
      <c r="H67">
        <f t="shared" ref="H67:H130" si="11">IF(E67="Mall",1,0)</f>
        <v>0</v>
      </c>
    </row>
    <row r="68" spans="1:8">
      <c r="A68" t="s">
        <v>10</v>
      </c>
      <c r="B68">
        <f t="shared" si="6"/>
        <v>0</v>
      </c>
      <c r="C68">
        <f t="shared" si="7"/>
        <v>0</v>
      </c>
      <c r="D68">
        <f t="shared" si="8"/>
        <v>1</v>
      </c>
      <c r="E68" t="s">
        <v>30</v>
      </c>
      <c r="F68">
        <f t="shared" si="9"/>
        <v>0</v>
      </c>
      <c r="G68">
        <f t="shared" si="10"/>
        <v>1</v>
      </c>
      <c r="H68">
        <f t="shared" si="11"/>
        <v>0</v>
      </c>
    </row>
    <row r="69" spans="1:8">
      <c r="A69" t="s">
        <v>10</v>
      </c>
      <c r="B69">
        <f t="shared" si="6"/>
        <v>0</v>
      </c>
      <c r="C69">
        <f t="shared" si="7"/>
        <v>0</v>
      </c>
      <c r="D69">
        <f t="shared" si="8"/>
        <v>1</v>
      </c>
      <c r="E69" t="s">
        <v>30</v>
      </c>
      <c r="F69">
        <f t="shared" si="9"/>
        <v>0</v>
      </c>
      <c r="G69">
        <f t="shared" si="10"/>
        <v>1</v>
      </c>
      <c r="H69">
        <f t="shared" si="11"/>
        <v>0</v>
      </c>
    </row>
    <row r="70" spans="1:8">
      <c r="A70" t="s">
        <v>8</v>
      </c>
      <c r="B70">
        <f t="shared" si="6"/>
        <v>1</v>
      </c>
      <c r="C70">
        <f t="shared" si="7"/>
        <v>0</v>
      </c>
      <c r="D70">
        <f t="shared" si="8"/>
        <v>0</v>
      </c>
      <c r="E70" t="s">
        <v>30</v>
      </c>
      <c r="F70">
        <f t="shared" si="9"/>
        <v>0</v>
      </c>
      <c r="G70">
        <f t="shared" si="10"/>
        <v>1</v>
      </c>
      <c r="H70">
        <f t="shared" si="11"/>
        <v>0</v>
      </c>
    </row>
    <row r="71" spans="1:8">
      <c r="A71" t="s">
        <v>8</v>
      </c>
      <c r="B71">
        <f t="shared" si="6"/>
        <v>1</v>
      </c>
      <c r="C71">
        <f t="shared" si="7"/>
        <v>0</v>
      </c>
      <c r="D71">
        <f t="shared" si="8"/>
        <v>0</v>
      </c>
      <c r="E71" t="s">
        <v>30</v>
      </c>
      <c r="F71">
        <f t="shared" si="9"/>
        <v>0</v>
      </c>
      <c r="G71">
        <f t="shared" si="10"/>
        <v>1</v>
      </c>
      <c r="H71">
        <f t="shared" si="11"/>
        <v>0</v>
      </c>
    </row>
    <row r="72" spans="1:8">
      <c r="A72" t="s">
        <v>8</v>
      </c>
      <c r="B72">
        <f t="shared" si="6"/>
        <v>1</v>
      </c>
      <c r="C72">
        <f t="shared" si="7"/>
        <v>0</v>
      </c>
      <c r="D72">
        <f t="shared" si="8"/>
        <v>0</v>
      </c>
      <c r="E72" t="s">
        <v>30</v>
      </c>
      <c r="F72">
        <f t="shared" si="9"/>
        <v>0</v>
      </c>
      <c r="G72">
        <f t="shared" si="10"/>
        <v>1</v>
      </c>
      <c r="H72">
        <f t="shared" si="11"/>
        <v>0</v>
      </c>
    </row>
    <row r="73" spans="1:8">
      <c r="A73" t="s">
        <v>8</v>
      </c>
      <c r="B73">
        <f t="shared" si="6"/>
        <v>1</v>
      </c>
      <c r="C73">
        <f t="shared" si="7"/>
        <v>0</v>
      </c>
      <c r="D73">
        <f t="shared" si="8"/>
        <v>0</v>
      </c>
      <c r="E73" t="s">
        <v>30</v>
      </c>
      <c r="F73">
        <f t="shared" si="9"/>
        <v>0</v>
      </c>
      <c r="G73">
        <f t="shared" si="10"/>
        <v>1</v>
      </c>
      <c r="H73">
        <f t="shared" si="11"/>
        <v>0</v>
      </c>
    </row>
    <row r="74" spans="1:8">
      <c r="A74" t="s">
        <v>8</v>
      </c>
      <c r="B74">
        <f t="shared" si="6"/>
        <v>1</v>
      </c>
      <c r="C74">
        <f t="shared" si="7"/>
        <v>0</v>
      </c>
      <c r="D74">
        <f t="shared" si="8"/>
        <v>0</v>
      </c>
      <c r="E74" t="s">
        <v>28</v>
      </c>
      <c r="F74">
        <f t="shared" si="9"/>
        <v>1</v>
      </c>
      <c r="G74">
        <f t="shared" si="10"/>
        <v>0</v>
      </c>
      <c r="H74">
        <f t="shared" si="11"/>
        <v>0</v>
      </c>
    </row>
    <row r="75" spans="1:8">
      <c r="A75" t="s">
        <v>8</v>
      </c>
      <c r="B75">
        <f t="shared" si="6"/>
        <v>1</v>
      </c>
      <c r="C75">
        <f t="shared" si="7"/>
        <v>0</v>
      </c>
      <c r="D75">
        <f t="shared" si="8"/>
        <v>0</v>
      </c>
      <c r="E75" t="s">
        <v>28</v>
      </c>
      <c r="F75">
        <f t="shared" si="9"/>
        <v>1</v>
      </c>
      <c r="G75">
        <f t="shared" si="10"/>
        <v>0</v>
      </c>
      <c r="H75">
        <f t="shared" si="11"/>
        <v>0</v>
      </c>
    </row>
    <row r="76" spans="1:8">
      <c r="A76" t="s">
        <v>8</v>
      </c>
      <c r="B76">
        <f t="shared" si="6"/>
        <v>1</v>
      </c>
      <c r="C76">
        <f t="shared" si="7"/>
        <v>0</v>
      </c>
      <c r="D76">
        <f t="shared" si="8"/>
        <v>0</v>
      </c>
      <c r="E76" t="s">
        <v>28</v>
      </c>
      <c r="F76">
        <f t="shared" si="9"/>
        <v>1</v>
      </c>
      <c r="G76">
        <f t="shared" si="10"/>
        <v>0</v>
      </c>
      <c r="H76">
        <f t="shared" si="11"/>
        <v>0</v>
      </c>
    </row>
    <row r="77" spans="1:8">
      <c r="A77" t="s">
        <v>8</v>
      </c>
      <c r="B77">
        <f t="shared" si="6"/>
        <v>1</v>
      </c>
      <c r="C77">
        <f t="shared" si="7"/>
        <v>0</v>
      </c>
      <c r="D77">
        <f t="shared" si="8"/>
        <v>0</v>
      </c>
      <c r="E77" t="s">
        <v>28</v>
      </c>
      <c r="F77">
        <f t="shared" si="9"/>
        <v>1</v>
      </c>
      <c r="G77">
        <f t="shared" si="10"/>
        <v>0</v>
      </c>
      <c r="H77">
        <f t="shared" si="11"/>
        <v>0</v>
      </c>
    </row>
    <row r="78" spans="1:8">
      <c r="A78" t="s">
        <v>9</v>
      </c>
      <c r="B78">
        <f t="shared" si="6"/>
        <v>0</v>
      </c>
      <c r="C78">
        <f t="shared" si="7"/>
        <v>1</v>
      </c>
      <c r="D78">
        <f t="shared" si="8"/>
        <v>0</v>
      </c>
      <c r="E78" t="s">
        <v>30</v>
      </c>
      <c r="F78">
        <f t="shared" si="9"/>
        <v>0</v>
      </c>
      <c r="G78">
        <f t="shared" si="10"/>
        <v>1</v>
      </c>
      <c r="H78">
        <f t="shared" si="11"/>
        <v>0</v>
      </c>
    </row>
    <row r="79" spans="1:8">
      <c r="A79" t="s">
        <v>9</v>
      </c>
      <c r="B79">
        <f t="shared" si="6"/>
        <v>0</v>
      </c>
      <c r="C79">
        <f t="shared" si="7"/>
        <v>1</v>
      </c>
      <c r="D79">
        <f t="shared" si="8"/>
        <v>0</v>
      </c>
      <c r="E79" t="s">
        <v>30</v>
      </c>
      <c r="F79">
        <f t="shared" si="9"/>
        <v>0</v>
      </c>
      <c r="G79">
        <f t="shared" si="10"/>
        <v>1</v>
      </c>
      <c r="H79">
        <f t="shared" si="11"/>
        <v>0</v>
      </c>
    </row>
    <row r="80" spans="1:8">
      <c r="A80" t="s">
        <v>9</v>
      </c>
      <c r="B80">
        <f t="shared" si="6"/>
        <v>0</v>
      </c>
      <c r="C80">
        <f t="shared" si="7"/>
        <v>1</v>
      </c>
      <c r="D80">
        <f t="shared" si="8"/>
        <v>0</v>
      </c>
      <c r="E80" t="s">
        <v>30</v>
      </c>
      <c r="F80">
        <f t="shared" si="9"/>
        <v>0</v>
      </c>
      <c r="G80">
        <f t="shared" si="10"/>
        <v>1</v>
      </c>
      <c r="H80">
        <f t="shared" si="11"/>
        <v>0</v>
      </c>
    </row>
    <row r="81" spans="1:8">
      <c r="A81" t="s">
        <v>9</v>
      </c>
      <c r="B81">
        <f t="shared" si="6"/>
        <v>0</v>
      </c>
      <c r="C81">
        <f t="shared" si="7"/>
        <v>1</v>
      </c>
      <c r="D81">
        <f t="shared" si="8"/>
        <v>0</v>
      </c>
      <c r="E81" t="s">
        <v>30</v>
      </c>
      <c r="F81">
        <f t="shared" si="9"/>
        <v>0</v>
      </c>
      <c r="G81">
        <f t="shared" si="10"/>
        <v>1</v>
      </c>
      <c r="H81">
        <f t="shared" si="11"/>
        <v>0</v>
      </c>
    </row>
    <row r="82" spans="1:8">
      <c r="A82" t="s">
        <v>10</v>
      </c>
      <c r="B82">
        <f t="shared" si="6"/>
        <v>0</v>
      </c>
      <c r="C82">
        <f t="shared" si="7"/>
        <v>0</v>
      </c>
      <c r="D82">
        <f t="shared" si="8"/>
        <v>1</v>
      </c>
      <c r="E82" t="s">
        <v>38</v>
      </c>
      <c r="F82">
        <f t="shared" si="9"/>
        <v>0</v>
      </c>
      <c r="G82">
        <f t="shared" si="10"/>
        <v>0</v>
      </c>
      <c r="H82">
        <f t="shared" si="11"/>
        <v>1</v>
      </c>
    </row>
    <row r="83" spans="1:8">
      <c r="A83" t="s">
        <v>10</v>
      </c>
      <c r="B83">
        <f t="shared" si="6"/>
        <v>0</v>
      </c>
      <c r="C83">
        <f t="shared" si="7"/>
        <v>0</v>
      </c>
      <c r="D83">
        <f t="shared" si="8"/>
        <v>1</v>
      </c>
      <c r="E83" t="s">
        <v>38</v>
      </c>
      <c r="F83">
        <f t="shared" si="9"/>
        <v>0</v>
      </c>
      <c r="G83">
        <f t="shared" si="10"/>
        <v>0</v>
      </c>
      <c r="H83">
        <f t="shared" si="11"/>
        <v>1</v>
      </c>
    </row>
    <row r="84" spans="1:8">
      <c r="A84" t="s">
        <v>10</v>
      </c>
      <c r="B84">
        <f t="shared" si="6"/>
        <v>0</v>
      </c>
      <c r="C84">
        <f t="shared" si="7"/>
        <v>0</v>
      </c>
      <c r="D84">
        <f t="shared" si="8"/>
        <v>1</v>
      </c>
      <c r="E84" t="s">
        <v>38</v>
      </c>
      <c r="F84">
        <f t="shared" si="9"/>
        <v>0</v>
      </c>
      <c r="G84">
        <f t="shared" si="10"/>
        <v>0</v>
      </c>
      <c r="H84">
        <f t="shared" si="11"/>
        <v>1</v>
      </c>
    </row>
    <row r="85" spans="1:8">
      <c r="A85" t="s">
        <v>10</v>
      </c>
      <c r="B85">
        <f t="shared" si="6"/>
        <v>0</v>
      </c>
      <c r="C85">
        <f t="shared" si="7"/>
        <v>0</v>
      </c>
      <c r="D85">
        <f t="shared" si="8"/>
        <v>1</v>
      </c>
      <c r="E85" t="s">
        <v>38</v>
      </c>
      <c r="F85">
        <f t="shared" si="9"/>
        <v>0</v>
      </c>
      <c r="G85">
        <f t="shared" si="10"/>
        <v>0</v>
      </c>
      <c r="H85">
        <f t="shared" si="11"/>
        <v>1</v>
      </c>
    </row>
    <row r="86" spans="1:8">
      <c r="A86" t="s">
        <v>10</v>
      </c>
      <c r="B86">
        <f t="shared" si="6"/>
        <v>0</v>
      </c>
      <c r="C86">
        <f t="shared" si="7"/>
        <v>0</v>
      </c>
      <c r="D86">
        <f t="shared" si="8"/>
        <v>1</v>
      </c>
      <c r="E86" t="s">
        <v>30</v>
      </c>
      <c r="F86">
        <f t="shared" si="9"/>
        <v>0</v>
      </c>
      <c r="G86">
        <f t="shared" si="10"/>
        <v>1</v>
      </c>
      <c r="H86">
        <f t="shared" si="11"/>
        <v>0</v>
      </c>
    </row>
    <row r="87" spans="1:8">
      <c r="A87" t="s">
        <v>10</v>
      </c>
      <c r="B87">
        <f t="shared" si="6"/>
        <v>0</v>
      </c>
      <c r="C87">
        <f t="shared" si="7"/>
        <v>0</v>
      </c>
      <c r="D87">
        <f t="shared" si="8"/>
        <v>1</v>
      </c>
      <c r="E87" t="s">
        <v>30</v>
      </c>
      <c r="F87">
        <f t="shared" si="9"/>
        <v>0</v>
      </c>
      <c r="G87">
        <f t="shared" si="10"/>
        <v>1</v>
      </c>
      <c r="H87">
        <f t="shared" si="11"/>
        <v>0</v>
      </c>
    </row>
    <row r="88" spans="1:8">
      <c r="A88" t="s">
        <v>10</v>
      </c>
      <c r="B88">
        <f t="shared" si="6"/>
        <v>0</v>
      </c>
      <c r="C88">
        <f t="shared" si="7"/>
        <v>0</v>
      </c>
      <c r="D88">
        <f t="shared" si="8"/>
        <v>1</v>
      </c>
      <c r="E88" t="s">
        <v>30</v>
      </c>
      <c r="F88">
        <f t="shared" si="9"/>
        <v>0</v>
      </c>
      <c r="G88">
        <f t="shared" si="10"/>
        <v>1</v>
      </c>
      <c r="H88">
        <f t="shared" si="11"/>
        <v>0</v>
      </c>
    </row>
    <row r="89" spans="1:8">
      <c r="A89" t="s">
        <v>10</v>
      </c>
      <c r="B89">
        <f t="shared" si="6"/>
        <v>0</v>
      </c>
      <c r="C89">
        <f t="shared" si="7"/>
        <v>0</v>
      </c>
      <c r="D89">
        <f t="shared" si="8"/>
        <v>1</v>
      </c>
      <c r="E89" t="s">
        <v>30</v>
      </c>
      <c r="F89">
        <f t="shared" si="9"/>
        <v>0</v>
      </c>
      <c r="G89">
        <f t="shared" si="10"/>
        <v>1</v>
      </c>
      <c r="H89">
        <f t="shared" si="11"/>
        <v>0</v>
      </c>
    </row>
    <row r="90" spans="1:8">
      <c r="A90" t="s">
        <v>9</v>
      </c>
      <c r="B90">
        <f t="shared" si="6"/>
        <v>0</v>
      </c>
      <c r="C90">
        <f t="shared" si="7"/>
        <v>1</v>
      </c>
      <c r="D90">
        <f t="shared" si="8"/>
        <v>0</v>
      </c>
      <c r="E90" t="s">
        <v>38</v>
      </c>
      <c r="F90">
        <f t="shared" si="9"/>
        <v>0</v>
      </c>
      <c r="G90">
        <f t="shared" si="10"/>
        <v>0</v>
      </c>
      <c r="H90">
        <f t="shared" si="11"/>
        <v>1</v>
      </c>
    </row>
    <row r="91" spans="1:8">
      <c r="A91" t="s">
        <v>9</v>
      </c>
      <c r="B91">
        <f t="shared" si="6"/>
        <v>0</v>
      </c>
      <c r="C91">
        <f t="shared" si="7"/>
        <v>1</v>
      </c>
      <c r="D91">
        <f t="shared" si="8"/>
        <v>0</v>
      </c>
      <c r="E91" t="s">
        <v>38</v>
      </c>
      <c r="F91">
        <f t="shared" si="9"/>
        <v>0</v>
      </c>
      <c r="G91">
        <f t="shared" si="10"/>
        <v>0</v>
      </c>
      <c r="H91">
        <f t="shared" si="11"/>
        <v>1</v>
      </c>
    </row>
    <row r="92" spans="1:8">
      <c r="A92" t="s">
        <v>9</v>
      </c>
      <c r="B92">
        <f t="shared" si="6"/>
        <v>0</v>
      </c>
      <c r="C92">
        <f t="shared" si="7"/>
        <v>1</v>
      </c>
      <c r="D92">
        <f t="shared" si="8"/>
        <v>0</v>
      </c>
      <c r="E92" t="s">
        <v>38</v>
      </c>
      <c r="F92">
        <f t="shared" si="9"/>
        <v>0</v>
      </c>
      <c r="G92">
        <f t="shared" si="10"/>
        <v>0</v>
      </c>
      <c r="H92">
        <f t="shared" si="11"/>
        <v>1</v>
      </c>
    </row>
    <row r="93" spans="1:8">
      <c r="A93" t="s">
        <v>9</v>
      </c>
      <c r="B93">
        <f t="shared" si="6"/>
        <v>0</v>
      </c>
      <c r="C93">
        <f t="shared" si="7"/>
        <v>1</v>
      </c>
      <c r="D93">
        <f t="shared" si="8"/>
        <v>0</v>
      </c>
      <c r="E93" t="s">
        <v>38</v>
      </c>
      <c r="F93">
        <f t="shared" si="9"/>
        <v>0</v>
      </c>
      <c r="G93">
        <f t="shared" si="10"/>
        <v>0</v>
      </c>
      <c r="H93">
        <f t="shared" si="11"/>
        <v>1</v>
      </c>
    </row>
    <row r="94" spans="1:8">
      <c r="A94" t="s">
        <v>10</v>
      </c>
      <c r="B94">
        <f t="shared" si="6"/>
        <v>0</v>
      </c>
      <c r="C94">
        <f t="shared" si="7"/>
        <v>0</v>
      </c>
      <c r="D94">
        <f t="shared" si="8"/>
        <v>1</v>
      </c>
      <c r="E94" t="s">
        <v>28</v>
      </c>
      <c r="F94">
        <f t="shared" si="9"/>
        <v>1</v>
      </c>
      <c r="G94">
        <f t="shared" si="10"/>
        <v>0</v>
      </c>
      <c r="H94">
        <f t="shared" si="11"/>
        <v>0</v>
      </c>
    </row>
    <row r="95" spans="1:8">
      <c r="A95" t="s">
        <v>10</v>
      </c>
      <c r="B95">
        <f t="shared" si="6"/>
        <v>0</v>
      </c>
      <c r="C95">
        <f t="shared" si="7"/>
        <v>0</v>
      </c>
      <c r="D95">
        <f t="shared" si="8"/>
        <v>1</v>
      </c>
      <c r="E95" t="s">
        <v>28</v>
      </c>
      <c r="F95">
        <f t="shared" si="9"/>
        <v>1</v>
      </c>
      <c r="G95">
        <f t="shared" si="10"/>
        <v>0</v>
      </c>
      <c r="H95">
        <f t="shared" si="11"/>
        <v>0</v>
      </c>
    </row>
    <row r="96" spans="1:8">
      <c r="A96" t="s">
        <v>10</v>
      </c>
      <c r="B96">
        <f t="shared" si="6"/>
        <v>0</v>
      </c>
      <c r="C96">
        <f t="shared" si="7"/>
        <v>0</v>
      </c>
      <c r="D96">
        <f t="shared" si="8"/>
        <v>1</v>
      </c>
      <c r="E96" t="s">
        <v>28</v>
      </c>
      <c r="F96">
        <f t="shared" si="9"/>
        <v>1</v>
      </c>
      <c r="G96">
        <f t="shared" si="10"/>
        <v>0</v>
      </c>
      <c r="H96">
        <f t="shared" si="11"/>
        <v>0</v>
      </c>
    </row>
    <row r="97" spans="1:8">
      <c r="A97" t="s">
        <v>10</v>
      </c>
      <c r="B97">
        <f t="shared" si="6"/>
        <v>0</v>
      </c>
      <c r="C97">
        <f t="shared" si="7"/>
        <v>0</v>
      </c>
      <c r="D97">
        <f t="shared" si="8"/>
        <v>1</v>
      </c>
      <c r="E97" t="s">
        <v>28</v>
      </c>
      <c r="F97">
        <f t="shared" si="9"/>
        <v>1</v>
      </c>
      <c r="G97">
        <f t="shared" si="10"/>
        <v>0</v>
      </c>
      <c r="H97">
        <f t="shared" si="11"/>
        <v>0</v>
      </c>
    </row>
    <row r="98" spans="1:8">
      <c r="A98" t="s">
        <v>10</v>
      </c>
      <c r="B98">
        <f t="shared" si="6"/>
        <v>0</v>
      </c>
      <c r="C98">
        <f t="shared" si="7"/>
        <v>0</v>
      </c>
      <c r="D98">
        <f t="shared" si="8"/>
        <v>1</v>
      </c>
      <c r="E98" t="s">
        <v>38</v>
      </c>
      <c r="F98">
        <f t="shared" si="9"/>
        <v>0</v>
      </c>
      <c r="G98">
        <f t="shared" si="10"/>
        <v>0</v>
      </c>
      <c r="H98">
        <f t="shared" si="11"/>
        <v>1</v>
      </c>
    </row>
    <row r="99" spans="1:8">
      <c r="A99" t="s">
        <v>10</v>
      </c>
      <c r="B99">
        <f t="shared" si="6"/>
        <v>0</v>
      </c>
      <c r="C99">
        <f t="shared" si="7"/>
        <v>0</v>
      </c>
      <c r="D99">
        <f t="shared" si="8"/>
        <v>1</v>
      </c>
      <c r="E99" t="s">
        <v>38</v>
      </c>
      <c r="F99">
        <f t="shared" si="9"/>
        <v>0</v>
      </c>
      <c r="G99">
        <f t="shared" si="10"/>
        <v>0</v>
      </c>
      <c r="H99">
        <f t="shared" si="11"/>
        <v>1</v>
      </c>
    </row>
    <row r="100" spans="1:8">
      <c r="A100" t="s">
        <v>10</v>
      </c>
      <c r="B100">
        <f t="shared" si="6"/>
        <v>0</v>
      </c>
      <c r="C100">
        <f t="shared" si="7"/>
        <v>0</v>
      </c>
      <c r="D100">
        <f t="shared" si="8"/>
        <v>1</v>
      </c>
      <c r="E100" t="s">
        <v>38</v>
      </c>
      <c r="F100">
        <f t="shared" si="9"/>
        <v>0</v>
      </c>
      <c r="G100">
        <f t="shared" si="10"/>
        <v>0</v>
      </c>
      <c r="H100">
        <f t="shared" si="11"/>
        <v>1</v>
      </c>
    </row>
    <row r="101" spans="1:8">
      <c r="A101" t="s">
        <v>10</v>
      </c>
      <c r="B101">
        <f t="shared" si="6"/>
        <v>0</v>
      </c>
      <c r="C101">
        <f t="shared" si="7"/>
        <v>0</v>
      </c>
      <c r="D101">
        <f t="shared" si="8"/>
        <v>1</v>
      </c>
      <c r="E101" t="s">
        <v>38</v>
      </c>
      <c r="F101">
        <f t="shared" si="9"/>
        <v>0</v>
      </c>
      <c r="G101">
        <f t="shared" si="10"/>
        <v>0</v>
      </c>
      <c r="H101">
        <f t="shared" si="11"/>
        <v>1</v>
      </c>
    </row>
    <row r="102" spans="1:8">
      <c r="A102" t="s">
        <v>8</v>
      </c>
      <c r="B102">
        <f t="shared" si="6"/>
        <v>1</v>
      </c>
      <c r="C102">
        <f t="shared" si="7"/>
        <v>0</v>
      </c>
      <c r="D102">
        <f t="shared" si="8"/>
        <v>0</v>
      </c>
      <c r="E102" t="s">
        <v>38</v>
      </c>
      <c r="F102">
        <f t="shared" si="9"/>
        <v>0</v>
      </c>
      <c r="G102">
        <f t="shared" si="10"/>
        <v>0</v>
      </c>
      <c r="H102">
        <f t="shared" si="11"/>
        <v>1</v>
      </c>
    </row>
    <row r="103" spans="1:8">
      <c r="A103" t="s">
        <v>8</v>
      </c>
      <c r="B103">
        <f t="shared" si="6"/>
        <v>1</v>
      </c>
      <c r="C103">
        <f t="shared" si="7"/>
        <v>0</v>
      </c>
      <c r="D103">
        <f t="shared" si="8"/>
        <v>0</v>
      </c>
      <c r="E103" t="s">
        <v>38</v>
      </c>
      <c r="F103">
        <f t="shared" si="9"/>
        <v>0</v>
      </c>
      <c r="G103">
        <f t="shared" si="10"/>
        <v>0</v>
      </c>
      <c r="H103">
        <f t="shared" si="11"/>
        <v>1</v>
      </c>
    </row>
    <row r="104" spans="1:8">
      <c r="A104" t="s">
        <v>8</v>
      </c>
      <c r="B104">
        <f t="shared" si="6"/>
        <v>1</v>
      </c>
      <c r="C104">
        <f t="shared" si="7"/>
        <v>0</v>
      </c>
      <c r="D104">
        <f t="shared" si="8"/>
        <v>0</v>
      </c>
      <c r="E104" t="s">
        <v>38</v>
      </c>
      <c r="F104">
        <f t="shared" si="9"/>
        <v>0</v>
      </c>
      <c r="G104">
        <f t="shared" si="10"/>
        <v>0</v>
      </c>
      <c r="H104">
        <f t="shared" si="11"/>
        <v>1</v>
      </c>
    </row>
    <row r="105" spans="1:8">
      <c r="A105" t="s">
        <v>8</v>
      </c>
      <c r="B105">
        <f t="shared" si="6"/>
        <v>1</v>
      </c>
      <c r="C105">
        <f t="shared" si="7"/>
        <v>0</v>
      </c>
      <c r="D105">
        <f t="shared" si="8"/>
        <v>0</v>
      </c>
      <c r="E105" t="s">
        <v>38</v>
      </c>
      <c r="F105">
        <f t="shared" si="9"/>
        <v>0</v>
      </c>
      <c r="G105">
        <f t="shared" si="10"/>
        <v>0</v>
      </c>
      <c r="H105">
        <f t="shared" si="11"/>
        <v>1</v>
      </c>
    </row>
    <row r="106" spans="1:8">
      <c r="A106" t="s">
        <v>10</v>
      </c>
      <c r="B106">
        <f t="shared" si="6"/>
        <v>0</v>
      </c>
      <c r="C106">
        <f t="shared" si="7"/>
        <v>0</v>
      </c>
      <c r="D106">
        <f t="shared" si="8"/>
        <v>1</v>
      </c>
      <c r="E106" t="s">
        <v>30</v>
      </c>
      <c r="F106">
        <f t="shared" si="9"/>
        <v>0</v>
      </c>
      <c r="G106">
        <f t="shared" si="10"/>
        <v>1</v>
      </c>
      <c r="H106">
        <f t="shared" si="11"/>
        <v>0</v>
      </c>
    </row>
    <row r="107" spans="1:8">
      <c r="A107" t="s">
        <v>10</v>
      </c>
      <c r="B107">
        <f t="shared" si="6"/>
        <v>0</v>
      </c>
      <c r="C107">
        <f t="shared" si="7"/>
        <v>0</v>
      </c>
      <c r="D107">
        <f t="shared" si="8"/>
        <v>1</v>
      </c>
      <c r="E107" t="s">
        <v>30</v>
      </c>
      <c r="F107">
        <f t="shared" si="9"/>
        <v>0</v>
      </c>
      <c r="G107">
        <f t="shared" si="10"/>
        <v>1</v>
      </c>
      <c r="H107">
        <f t="shared" si="11"/>
        <v>0</v>
      </c>
    </row>
    <row r="108" spans="1:8">
      <c r="A108" t="s">
        <v>10</v>
      </c>
      <c r="B108">
        <f t="shared" si="6"/>
        <v>0</v>
      </c>
      <c r="C108">
        <f t="shared" si="7"/>
        <v>0</v>
      </c>
      <c r="D108">
        <f t="shared" si="8"/>
        <v>1</v>
      </c>
      <c r="E108" t="s">
        <v>30</v>
      </c>
      <c r="F108">
        <f t="shared" si="9"/>
        <v>0</v>
      </c>
      <c r="G108">
        <f t="shared" si="10"/>
        <v>1</v>
      </c>
      <c r="H108">
        <f t="shared" si="11"/>
        <v>0</v>
      </c>
    </row>
    <row r="109" spans="1:8">
      <c r="A109" t="s">
        <v>10</v>
      </c>
      <c r="B109">
        <f t="shared" si="6"/>
        <v>0</v>
      </c>
      <c r="C109">
        <f t="shared" si="7"/>
        <v>0</v>
      </c>
      <c r="D109">
        <f t="shared" si="8"/>
        <v>1</v>
      </c>
      <c r="E109" t="s">
        <v>30</v>
      </c>
      <c r="F109">
        <f t="shared" si="9"/>
        <v>0</v>
      </c>
      <c r="G109">
        <f t="shared" si="10"/>
        <v>1</v>
      </c>
      <c r="H109">
        <f t="shared" si="11"/>
        <v>0</v>
      </c>
    </row>
    <row r="110" spans="1:8">
      <c r="A110" t="s">
        <v>8</v>
      </c>
      <c r="B110">
        <f t="shared" si="6"/>
        <v>1</v>
      </c>
      <c r="C110">
        <f t="shared" si="7"/>
        <v>0</v>
      </c>
      <c r="D110">
        <f t="shared" si="8"/>
        <v>0</v>
      </c>
      <c r="E110" t="s">
        <v>38</v>
      </c>
      <c r="F110">
        <f t="shared" si="9"/>
        <v>0</v>
      </c>
      <c r="G110">
        <f t="shared" si="10"/>
        <v>0</v>
      </c>
      <c r="H110">
        <f t="shared" si="11"/>
        <v>1</v>
      </c>
    </row>
    <row r="111" spans="1:8">
      <c r="A111" t="s">
        <v>8</v>
      </c>
      <c r="B111">
        <f t="shared" si="6"/>
        <v>1</v>
      </c>
      <c r="C111">
        <f t="shared" si="7"/>
        <v>0</v>
      </c>
      <c r="D111">
        <f t="shared" si="8"/>
        <v>0</v>
      </c>
      <c r="E111" t="s">
        <v>38</v>
      </c>
      <c r="F111">
        <f t="shared" si="9"/>
        <v>0</v>
      </c>
      <c r="G111">
        <f t="shared" si="10"/>
        <v>0</v>
      </c>
      <c r="H111">
        <f t="shared" si="11"/>
        <v>1</v>
      </c>
    </row>
    <row r="112" spans="1:8">
      <c r="A112" t="s">
        <v>8</v>
      </c>
      <c r="B112">
        <f t="shared" si="6"/>
        <v>1</v>
      </c>
      <c r="C112">
        <f t="shared" si="7"/>
        <v>0</v>
      </c>
      <c r="D112">
        <f t="shared" si="8"/>
        <v>0</v>
      </c>
      <c r="E112" t="s">
        <v>38</v>
      </c>
      <c r="F112">
        <f t="shared" si="9"/>
        <v>0</v>
      </c>
      <c r="G112">
        <f t="shared" si="10"/>
        <v>0</v>
      </c>
      <c r="H112">
        <f t="shared" si="11"/>
        <v>1</v>
      </c>
    </row>
    <row r="113" spans="1:8">
      <c r="A113" t="s">
        <v>8</v>
      </c>
      <c r="B113">
        <f t="shared" si="6"/>
        <v>1</v>
      </c>
      <c r="C113">
        <f t="shared" si="7"/>
        <v>0</v>
      </c>
      <c r="D113">
        <f t="shared" si="8"/>
        <v>0</v>
      </c>
      <c r="E113" t="s">
        <v>38</v>
      </c>
      <c r="F113">
        <f t="shared" si="9"/>
        <v>0</v>
      </c>
      <c r="G113">
        <f t="shared" si="10"/>
        <v>0</v>
      </c>
      <c r="H113">
        <f t="shared" si="11"/>
        <v>1</v>
      </c>
    </row>
    <row r="114" spans="1:8">
      <c r="A114" t="s">
        <v>10</v>
      </c>
      <c r="B114">
        <f t="shared" si="6"/>
        <v>0</v>
      </c>
      <c r="C114">
        <f t="shared" si="7"/>
        <v>0</v>
      </c>
      <c r="D114">
        <f t="shared" si="8"/>
        <v>1</v>
      </c>
      <c r="E114" t="s">
        <v>38</v>
      </c>
      <c r="F114">
        <f t="shared" si="9"/>
        <v>0</v>
      </c>
      <c r="G114">
        <f t="shared" si="10"/>
        <v>0</v>
      </c>
      <c r="H114">
        <f t="shared" si="11"/>
        <v>1</v>
      </c>
    </row>
    <row r="115" spans="1:8">
      <c r="A115" t="s">
        <v>10</v>
      </c>
      <c r="B115">
        <f t="shared" si="6"/>
        <v>0</v>
      </c>
      <c r="C115">
        <f t="shared" si="7"/>
        <v>0</v>
      </c>
      <c r="D115">
        <f t="shared" si="8"/>
        <v>1</v>
      </c>
      <c r="E115" t="s">
        <v>38</v>
      </c>
      <c r="F115">
        <f t="shared" si="9"/>
        <v>0</v>
      </c>
      <c r="G115">
        <f t="shared" si="10"/>
        <v>0</v>
      </c>
      <c r="H115">
        <f t="shared" si="11"/>
        <v>1</v>
      </c>
    </row>
    <row r="116" spans="1:8">
      <c r="A116" t="s">
        <v>10</v>
      </c>
      <c r="B116">
        <f t="shared" si="6"/>
        <v>0</v>
      </c>
      <c r="C116">
        <f t="shared" si="7"/>
        <v>0</v>
      </c>
      <c r="D116">
        <f t="shared" si="8"/>
        <v>1</v>
      </c>
      <c r="E116" t="s">
        <v>38</v>
      </c>
      <c r="F116">
        <f t="shared" si="9"/>
        <v>0</v>
      </c>
      <c r="G116">
        <f t="shared" si="10"/>
        <v>0</v>
      </c>
      <c r="H116">
        <f t="shared" si="11"/>
        <v>1</v>
      </c>
    </row>
    <row r="117" spans="1:8">
      <c r="A117" t="s">
        <v>10</v>
      </c>
      <c r="B117">
        <f t="shared" si="6"/>
        <v>0</v>
      </c>
      <c r="C117">
        <f t="shared" si="7"/>
        <v>0</v>
      </c>
      <c r="D117">
        <f t="shared" si="8"/>
        <v>1</v>
      </c>
      <c r="E117" t="s">
        <v>38</v>
      </c>
      <c r="F117">
        <f t="shared" si="9"/>
        <v>0</v>
      </c>
      <c r="G117">
        <f t="shared" si="10"/>
        <v>0</v>
      </c>
      <c r="H117">
        <f t="shared" si="11"/>
        <v>1</v>
      </c>
    </row>
    <row r="118" spans="1:8">
      <c r="A118" t="s">
        <v>10</v>
      </c>
      <c r="B118">
        <f t="shared" si="6"/>
        <v>0</v>
      </c>
      <c r="C118">
        <f t="shared" si="7"/>
        <v>0</v>
      </c>
      <c r="D118">
        <f t="shared" si="8"/>
        <v>1</v>
      </c>
      <c r="E118" t="s">
        <v>28</v>
      </c>
      <c r="F118">
        <f t="shared" si="9"/>
        <v>1</v>
      </c>
      <c r="G118">
        <f t="shared" si="10"/>
        <v>0</v>
      </c>
      <c r="H118">
        <f t="shared" si="11"/>
        <v>0</v>
      </c>
    </row>
    <row r="119" spans="1:8">
      <c r="A119" t="s">
        <v>10</v>
      </c>
      <c r="B119">
        <f t="shared" si="6"/>
        <v>0</v>
      </c>
      <c r="C119">
        <f t="shared" si="7"/>
        <v>0</v>
      </c>
      <c r="D119">
        <f t="shared" si="8"/>
        <v>1</v>
      </c>
      <c r="E119" t="s">
        <v>28</v>
      </c>
      <c r="F119">
        <f t="shared" si="9"/>
        <v>1</v>
      </c>
      <c r="G119">
        <f t="shared" si="10"/>
        <v>0</v>
      </c>
      <c r="H119">
        <f t="shared" si="11"/>
        <v>0</v>
      </c>
    </row>
    <row r="120" spans="1:8">
      <c r="A120" t="s">
        <v>10</v>
      </c>
      <c r="B120">
        <f t="shared" si="6"/>
        <v>0</v>
      </c>
      <c r="C120">
        <f t="shared" si="7"/>
        <v>0</v>
      </c>
      <c r="D120">
        <f t="shared" si="8"/>
        <v>1</v>
      </c>
      <c r="E120" t="s">
        <v>28</v>
      </c>
      <c r="F120">
        <f t="shared" si="9"/>
        <v>1</v>
      </c>
      <c r="G120">
        <f t="shared" si="10"/>
        <v>0</v>
      </c>
      <c r="H120">
        <f t="shared" si="11"/>
        <v>0</v>
      </c>
    </row>
    <row r="121" spans="1:8">
      <c r="A121" t="s">
        <v>10</v>
      </c>
      <c r="B121">
        <f t="shared" si="6"/>
        <v>0</v>
      </c>
      <c r="C121">
        <f t="shared" si="7"/>
        <v>0</v>
      </c>
      <c r="D121">
        <f t="shared" si="8"/>
        <v>1</v>
      </c>
      <c r="E121" t="s">
        <v>28</v>
      </c>
      <c r="F121">
        <f t="shared" si="9"/>
        <v>1</v>
      </c>
      <c r="G121">
        <f t="shared" si="10"/>
        <v>0</v>
      </c>
      <c r="H121">
        <f t="shared" si="11"/>
        <v>0</v>
      </c>
    </row>
    <row r="122" spans="1:8">
      <c r="A122" t="s">
        <v>32</v>
      </c>
      <c r="B122">
        <f t="shared" si="6"/>
        <v>0</v>
      </c>
      <c r="C122">
        <f t="shared" si="7"/>
        <v>0</v>
      </c>
      <c r="D122">
        <f t="shared" si="8"/>
        <v>0</v>
      </c>
      <c r="E122" t="s">
        <v>30</v>
      </c>
      <c r="F122">
        <f t="shared" si="9"/>
        <v>0</v>
      </c>
      <c r="G122">
        <f t="shared" si="10"/>
        <v>1</v>
      </c>
      <c r="H122">
        <f t="shared" si="11"/>
        <v>0</v>
      </c>
    </row>
    <row r="123" spans="1:8">
      <c r="A123" t="s">
        <v>32</v>
      </c>
      <c r="B123">
        <f t="shared" si="6"/>
        <v>0</v>
      </c>
      <c r="C123">
        <f t="shared" si="7"/>
        <v>0</v>
      </c>
      <c r="D123">
        <f t="shared" si="8"/>
        <v>0</v>
      </c>
      <c r="E123" t="s">
        <v>30</v>
      </c>
      <c r="F123">
        <f t="shared" si="9"/>
        <v>0</v>
      </c>
      <c r="G123">
        <f t="shared" si="10"/>
        <v>1</v>
      </c>
      <c r="H123">
        <f t="shared" si="11"/>
        <v>0</v>
      </c>
    </row>
    <row r="124" spans="1:8">
      <c r="A124" t="s">
        <v>32</v>
      </c>
      <c r="B124">
        <f t="shared" si="6"/>
        <v>0</v>
      </c>
      <c r="C124">
        <f t="shared" si="7"/>
        <v>0</v>
      </c>
      <c r="D124">
        <f t="shared" si="8"/>
        <v>0</v>
      </c>
      <c r="E124" t="s">
        <v>30</v>
      </c>
      <c r="F124">
        <f t="shared" si="9"/>
        <v>0</v>
      </c>
      <c r="G124">
        <f t="shared" si="10"/>
        <v>1</v>
      </c>
      <c r="H124">
        <f t="shared" si="11"/>
        <v>0</v>
      </c>
    </row>
    <row r="125" spans="1:8">
      <c r="A125" t="s">
        <v>32</v>
      </c>
      <c r="B125">
        <f t="shared" si="6"/>
        <v>0</v>
      </c>
      <c r="C125">
        <f t="shared" si="7"/>
        <v>0</v>
      </c>
      <c r="D125">
        <f t="shared" si="8"/>
        <v>0</v>
      </c>
      <c r="E125" t="s">
        <v>30</v>
      </c>
      <c r="F125">
        <f t="shared" si="9"/>
        <v>0</v>
      </c>
      <c r="G125">
        <f t="shared" si="10"/>
        <v>1</v>
      </c>
      <c r="H125">
        <f t="shared" si="11"/>
        <v>0</v>
      </c>
    </row>
    <row r="126" spans="1:8">
      <c r="A126" t="s">
        <v>9</v>
      </c>
      <c r="B126">
        <f t="shared" si="6"/>
        <v>0</v>
      </c>
      <c r="C126">
        <f t="shared" si="7"/>
        <v>1</v>
      </c>
      <c r="D126">
        <f t="shared" si="8"/>
        <v>0</v>
      </c>
      <c r="E126" t="s">
        <v>30</v>
      </c>
      <c r="F126">
        <f t="shared" si="9"/>
        <v>0</v>
      </c>
      <c r="G126">
        <f t="shared" si="10"/>
        <v>1</v>
      </c>
      <c r="H126">
        <f t="shared" si="11"/>
        <v>0</v>
      </c>
    </row>
    <row r="127" spans="1:8">
      <c r="A127" t="s">
        <v>9</v>
      </c>
      <c r="B127">
        <f t="shared" si="6"/>
        <v>0</v>
      </c>
      <c r="C127">
        <f t="shared" si="7"/>
        <v>1</v>
      </c>
      <c r="D127">
        <f t="shared" si="8"/>
        <v>0</v>
      </c>
      <c r="E127" t="s">
        <v>30</v>
      </c>
      <c r="F127">
        <f t="shared" si="9"/>
        <v>0</v>
      </c>
      <c r="G127">
        <f t="shared" si="10"/>
        <v>1</v>
      </c>
      <c r="H127">
        <f t="shared" si="11"/>
        <v>0</v>
      </c>
    </row>
    <row r="128" spans="1:8">
      <c r="A128" t="s">
        <v>9</v>
      </c>
      <c r="B128">
        <f t="shared" si="6"/>
        <v>0</v>
      </c>
      <c r="C128">
        <f t="shared" si="7"/>
        <v>1</v>
      </c>
      <c r="D128">
        <f t="shared" si="8"/>
        <v>0</v>
      </c>
      <c r="E128" t="s">
        <v>30</v>
      </c>
      <c r="F128">
        <f t="shared" si="9"/>
        <v>0</v>
      </c>
      <c r="G128">
        <f t="shared" si="10"/>
        <v>1</v>
      </c>
      <c r="H128">
        <f t="shared" si="11"/>
        <v>0</v>
      </c>
    </row>
    <row r="129" spans="1:8">
      <c r="A129" t="s">
        <v>9</v>
      </c>
      <c r="B129">
        <f t="shared" si="6"/>
        <v>0</v>
      </c>
      <c r="C129">
        <f t="shared" si="7"/>
        <v>1</v>
      </c>
      <c r="D129">
        <f t="shared" si="8"/>
        <v>0</v>
      </c>
      <c r="E129" t="s">
        <v>30</v>
      </c>
      <c r="F129">
        <f t="shared" si="9"/>
        <v>0</v>
      </c>
      <c r="G129">
        <f t="shared" si="10"/>
        <v>1</v>
      </c>
      <c r="H129">
        <f t="shared" si="11"/>
        <v>0</v>
      </c>
    </row>
    <row r="130" spans="1:8">
      <c r="A130" t="s">
        <v>8</v>
      </c>
      <c r="B130">
        <f t="shared" si="6"/>
        <v>1</v>
      </c>
      <c r="C130">
        <f t="shared" si="7"/>
        <v>0</v>
      </c>
      <c r="D130">
        <f t="shared" si="8"/>
        <v>0</v>
      </c>
      <c r="E130" t="s">
        <v>30</v>
      </c>
      <c r="F130">
        <f t="shared" si="9"/>
        <v>0</v>
      </c>
      <c r="G130">
        <f t="shared" si="10"/>
        <v>1</v>
      </c>
      <c r="H130">
        <f t="shared" si="11"/>
        <v>0</v>
      </c>
    </row>
    <row r="131" spans="1:8">
      <c r="A131" t="s">
        <v>8</v>
      </c>
      <c r="B131">
        <f t="shared" ref="B131:B194" si="12">IF(A131="East",1,0)</f>
        <v>1</v>
      </c>
      <c r="C131">
        <f t="shared" ref="C131:C194" si="13">IF(A131="South",1,0)</f>
        <v>0</v>
      </c>
      <c r="D131">
        <f t="shared" ref="D131:D194" si="14">IF(A131="West",1,0)</f>
        <v>0</v>
      </c>
      <c r="E131" t="s">
        <v>30</v>
      </c>
      <c r="F131">
        <f t="shared" ref="F131:F194" si="15">IF(E131="Residential",1,0)</f>
        <v>0</v>
      </c>
      <c r="G131">
        <f t="shared" ref="G131:G194" si="16">IF(E131="High Street",1,0)</f>
        <v>1</v>
      </c>
      <c r="H131">
        <f t="shared" ref="H131:H194" si="17">IF(E131="Mall",1,0)</f>
        <v>0</v>
      </c>
    </row>
    <row r="132" spans="1:8">
      <c r="A132" t="s">
        <v>8</v>
      </c>
      <c r="B132">
        <f t="shared" si="12"/>
        <v>1</v>
      </c>
      <c r="C132">
        <f t="shared" si="13"/>
        <v>0</v>
      </c>
      <c r="D132">
        <f t="shared" si="14"/>
        <v>0</v>
      </c>
      <c r="E132" t="s">
        <v>30</v>
      </c>
      <c r="F132">
        <f t="shared" si="15"/>
        <v>0</v>
      </c>
      <c r="G132">
        <f t="shared" si="16"/>
        <v>1</v>
      </c>
      <c r="H132">
        <f t="shared" si="17"/>
        <v>0</v>
      </c>
    </row>
    <row r="133" spans="1:8">
      <c r="A133" t="s">
        <v>8</v>
      </c>
      <c r="B133">
        <f t="shared" si="12"/>
        <v>1</v>
      </c>
      <c r="C133">
        <f t="shared" si="13"/>
        <v>0</v>
      </c>
      <c r="D133">
        <f t="shared" si="14"/>
        <v>0</v>
      </c>
      <c r="E133" t="s">
        <v>30</v>
      </c>
      <c r="F133">
        <f t="shared" si="15"/>
        <v>0</v>
      </c>
      <c r="G133">
        <f t="shared" si="16"/>
        <v>1</v>
      </c>
      <c r="H133">
        <f t="shared" si="17"/>
        <v>0</v>
      </c>
    </row>
    <row r="134" spans="1:8">
      <c r="A134" t="s">
        <v>32</v>
      </c>
      <c r="B134">
        <f t="shared" si="12"/>
        <v>0</v>
      </c>
      <c r="C134">
        <f t="shared" si="13"/>
        <v>0</v>
      </c>
      <c r="D134">
        <f t="shared" si="14"/>
        <v>0</v>
      </c>
      <c r="E134" t="s">
        <v>30</v>
      </c>
      <c r="F134">
        <f t="shared" si="15"/>
        <v>0</v>
      </c>
      <c r="G134">
        <f t="shared" si="16"/>
        <v>1</v>
      </c>
      <c r="H134">
        <f t="shared" si="17"/>
        <v>0</v>
      </c>
    </row>
    <row r="135" spans="1:8">
      <c r="A135" t="s">
        <v>32</v>
      </c>
      <c r="B135">
        <f t="shared" si="12"/>
        <v>0</v>
      </c>
      <c r="C135">
        <f t="shared" si="13"/>
        <v>0</v>
      </c>
      <c r="D135">
        <f t="shared" si="14"/>
        <v>0</v>
      </c>
      <c r="E135" t="s">
        <v>30</v>
      </c>
      <c r="F135">
        <f t="shared" si="15"/>
        <v>0</v>
      </c>
      <c r="G135">
        <f t="shared" si="16"/>
        <v>1</v>
      </c>
      <c r="H135">
        <f t="shared" si="17"/>
        <v>0</v>
      </c>
    </row>
    <row r="136" spans="1:8">
      <c r="A136" t="s">
        <v>32</v>
      </c>
      <c r="B136">
        <f t="shared" si="12"/>
        <v>0</v>
      </c>
      <c r="C136">
        <f t="shared" si="13"/>
        <v>0</v>
      </c>
      <c r="D136">
        <f t="shared" si="14"/>
        <v>0</v>
      </c>
      <c r="E136" t="s">
        <v>30</v>
      </c>
      <c r="F136">
        <f t="shared" si="15"/>
        <v>0</v>
      </c>
      <c r="G136">
        <f t="shared" si="16"/>
        <v>1</v>
      </c>
      <c r="H136">
        <f t="shared" si="17"/>
        <v>0</v>
      </c>
    </row>
    <row r="137" spans="1:8">
      <c r="A137" t="s">
        <v>32</v>
      </c>
      <c r="B137">
        <f t="shared" si="12"/>
        <v>0</v>
      </c>
      <c r="C137">
        <f t="shared" si="13"/>
        <v>0</v>
      </c>
      <c r="D137">
        <f t="shared" si="14"/>
        <v>0</v>
      </c>
      <c r="E137" t="s">
        <v>30</v>
      </c>
      <c r="F137">
        <f t="shared" si="15"/>
        <v>0</v>
      </c>
      <c r="G137">
        <f t="shared" si="16"/>
        <v>1</v>
      </c>
      <c r="H137">
        <f t="shared" si="17"/>
        <v>0</v>
      </c>
    </row>
    <row r="138" spans="1:8">
      <c r="A138" t="s">
        <v>9</v>
      </c>
      <c r="B138">
        <f t="shared" si="12"/>
        <v>0</v>
      </c>
      <c r="C138">
        <f t="shared" si="13"/>
        <v>1</v>
      </c>
      <c r="D138">
        <f t="shared" si="14"/>
        <v>0</v>
      </c>
      <c r="E138" t="s">
        <v>28</v>
      </c>
      <c r="F138">
        <f t="shared" si="15"/>
        <v>1</v>
      </c>
      <c r="G138">
        <f t="shared" si="16"/>
        <v>0</v>
      </c>
      <c r="H138">
        <f t="shared" si="17"/>
        <v>0</v>
      </c>
    </row>
    <row r="139" spans="1:8">
      <c r="A139" t="s">
        <v>9</v>
      </c>
      <c r="B139">
        <f t="shared" si="12"/>
        <v>0</v>
      </c>
      <c r="C139">
        <f t="shared" si="13"/>
        <v>1</v>
      </c>
      <c r="D139">
        <f t="shared" si="14"/>
        <v>0</v>
      </c>
      <c r="E139" t="s">
        <v>28</v>
      </c>
      <c r="F139">
        <f t="shared" si="15"/>
        <v>1</v>
      </c>
      <c r="G139">
        <f t="shared" si="16"/>
        <v>0</v>
      </c>
      <c r="H139">
        <f t="shared" si="17"/>
        <v>0</v>
      </c>
    </row>
    <row r="140" spans="1:8">
      <c r="A140" t="s">
        <v>9</v>
      </c>
      <c r="B140">
        <f t="shared" si="12"/>
        <v>0</v>
      </c>
      <c r="C140">
        <f t="shared" si="13"/>
        <v>1</v>
      </c>
      <c r="D140">
        <f t="shared" si="14"/>
        <v>0</v>
      </c>
      <c r="E140" t="s">
        <v>28</v>
      </c>
      <c r="F140">
        <f t="shared" si="15"/>
        <v>1</v>
      </c>
      <c r="G140">
        <f t="shared" si="16"/>
        <v>0</v>
      </c>
      <c r="H140">
        <f t="shared" si="17"/>
        <v>0</v>
      </c>
    </row>
    <row r="141" spans="1:8">
      <c r="A141" t="s">
        <v>9</v>
      </c>
      <c r="B141">
        <f t="shared" si="12"/>
        <v>0</v>
      </c>
      <c r="C141">
        <f t="shared" si="13"/>
        <v>1</v>
      </c>
      <c r="D141">
        <f t="shared" si="14"/>
        <v>0</v>
      </c>
      <c r="E141" t="s">
        <v>28</v>
      </c>
      <c r="F141">
        <f t="shared" si="15"/>
        <v>1</v>
      </c>
      <c r="G141">
        <f t="shared" si="16"/>
        <v>0</v>
      </c>
      <c r="H141">
        <f t="shared" si="17"/>
        <v>0</v>
      </c>
    </row>
    <row r="142" spans="1:8">
      <c r="A142" t="s">
        <v>10</v>
      </c>
      <c r="B142">
        <f t="shared" si="12"/>
        <v>0</v>
      </c>
      <c r="C142">
        <f t="shared" si="13"/>
        <v>0</v>
      </c>
      <c r="D142">
        <f t="shared" si="14"/>
        <v>1</v>
      </c>
      <c r="E142" t="s">
        <v>30</v>
      </c>
      <c r="F142">
        <f t="shared" si="15"/>
        <v>0</v>
      </c>
      <c r="G142">
        <f t="shared" si="16"/>
        <v>1</v>
      </c>
      <c r="H142">
        <f t="shared" si="17"/>
        <v>0</v>
      </c>
    </row>
    <row r="143" spans="1:8">
      <c r="A143" t="s">
        <v>10</v>
      </c>
      <c r="B143">
        <f t="shared" si="12"/>
        <v>0</v>
      </c>
      <c r="C143">
        <f t="shared" si="13"/>
        <v>0</v>
      </c>
      <c r="D143">
        <f t="shared" si="14"/>
        <v>1</v>
      </c>
      <c r="E143" t="s">
        <v>30</v>
      </c>
      <c r="F143">
        <f t="shared" si="15"/>
        <v>0</v>
      </c>
      <c r="G143">
        <f t="shared" si="16"/>
        <v>1</v>
      </c>
      <c r="H143">
        <f t="shared" si="17"/>
        <v>0</v>
      </c>
    </row>
    <row r="144" spans="1:8">
      <c r="A144" t="s">
        <v>10</v>
      </c>
      <c r="B144">
        <f t="shared" si="12"/>
        <v>0</v>
      </c>
      <c r="C144">
        <f t="shared" si="13"/>
        <v>0</v>
      </c>
      <c r="D144">
        <f t="shared" si="14"/>
        <v>1</v>
      </c>
      <c r="E144" t="s">
        <v>30</v>
      </c>
      <c r="F144">
        <f t="shared" si="15"/>
        <v>0</v>
      </c>
      <c r="G144">
        <f t="shared" si="16"/>
        <v>1</v>
      </c>
      <c r="H144">
        <f t="shared" si="17"/>
        <v>0</v>
      </c>
    </row>
    <row r="145" spans="1:8">
      <c r="A145" t="s">
        <v>10</v>
      </c>
      <c r="B145">
        <f t="shared" si="12"/>
        <v>0</v>
      </c>
      <c r="C145">
        <f t="shared" si="13"/>
        <v>0</v>
      </c>
      <c r="D145">
        <f t="shared" si="14"/>
        <v>1</v>
      </c>
      <c r="E145" t="s">
        <v>30</v>
      </c>
      <c r="F145">
        <f t="shared" si="15"/>
        <v>0</v>
      </c>
      <c r="G145">
        <f t="shared" si="16"/>
        <v>1</v>
      </c>
      <c r="H145">
        <f t="shared" si="17"/>
        <v>0</v>
      </c>
    </row>
    <row r="146" spans="1:8">
      <c r="A146" t="s">
        <v>32</v>
      </c>
      <c r="B146">
        <f t="shared" si="12"/>
        <v>0</v>
      </c>
      <c r="C146">
        <f t="shared" si="13"/>
        <v>0</v>
      </c>
      <c r="D146">
        <f t="shared" si="14"/>
        <v>0</v>
      </c>
      <c r="E146" t="s">
        <v>28</v>
      </c>
      <c r="F146">
        <f t="shared" si="15"/>
        <v>1</v>
      </c>
      <c r="G146">
        <f t="shared" si="16"/>
        <v>0</v>
      </c>
      <c r="H146">
        <f t="shared" si="17"/>
        <v>0</v>
      </c>
    </row>
    <row r="147" spans="1:8">
      <c r="A147" t="s">
        <v>32</v>
      </c>
      <c r="B147">
        <f t="shared" si="12"/>
        <v>0</v>
      </c>
      <c r="C147">
        <f t="shared" si="13"/>
        <v>0</v>
      </c>
      <c r="D147">
        <f t="shared" si="14"/>
        <v>0</v>
      </c>
      <c r="E147" t="s">
        <v>28</v>
      </c>
      <c r="F147">
        <f t="shared" si="15"/>
        <v>1</v>
      </c>
      <c r="G147">
        <f t="shared" si="16"/>
        <v>0</v>
      </c>
      <c r="H147">
        <f t="shared" si="17"/>
        <v>0</v>
      </c>
    </row>
    <row r="148" spans="1:8">
      <c r="A148" t="s">
        <v>32</v>
      </c>
      <c r="B148">
        <f t="shared" si="12"/>
        <v>0</v>
      </c>
      <c r="C148">
        <f t="shared" si="13"/>
        <v>0</v>
      </c>
      <c r="D148">
        <f t="shared" si="14"/>
        <v>0</v>
      </c>
      <c r="E148" t="s">
        <v>28</v>
      </c>
      <c r="F148">
        <f t="shared" si="15"/>
        <v>1</v>
      </c>
      <c r="G148">
        <f t="shared" si="16"/>
        <v>0</v>
      </c>
      <c r="H148">
        <f t="shared" si="17"/>
        <v>0</v>
      </c>
    </row>
    <row r="149" spans="1:8">
      <c r="A149" t="s">
        <v>32</v>
      </c>
      <c r="B149">
        <f t="shared" si="12"/>
        <v>0</v>
      </c>
      <c r="C149">
        <f t="shared" si="13"/>
        <v>0</v>
      </c>
      <c r="D149">
        <f t="shared" si="14"/>
        <v>0</v>
      </c>
      <c r="E149" t="s">
        <v>28</v>
      </c>
      <c r="F149">
        <f t="shared" si="15"/>
        <v>1</v>
      </c>
      <c r="G149">
        <f t="shared" si="16"/>
        <v>0</v>
      </c>
      <c r="H149">
        <f t="shared" si="17"/>
        <v>0</v>
      </c>
    </row>
    <row r="150" spans="1:8">
      <c r="A150" t="s">
        <v>9</v>
      </c>
      <c r="B150">
        <f t="shared" si="12"/>
        <v>0</v>
      </c>
      <c r="C150">
        <f t="shared" si="13"/>
        <v>1</v>
      </c>
      <c r="D150">
        <f t="shared" si="14"/>
        <v>0</v>
      </c>
      <c r="E150" t="s">
        <v>38</v>
      </c>
      <c r="F150">
        <f t="shared" si="15"/>
        <v>0</v>
      </c>
      <c r="G150">
        <f t="shared" si="16"/>
        <v>0</v>
      </c>
      <c r="H150">
        <f t="shared" si="17"/>
        <v>1</v>
      </c>
    </row>
    <row r="151" spans="1:8">
      <c r="A151" t="s">
        <v>9</v>
      </c>
      <c r="B151">
        <f t="shared" si="12"/>
        <v>0</v>
      </c>
      <c r="C151">
        <f t="shared" si="13"/>
        <v>1</v>
      </c>
      <c r="D151">
        <f t="shared" si="14"/>
        <v>0</v>
      </c>
      <c r="E151" t="s">
        <v>38</v>
      </c>
      <c r="F151">
        <f t="shared" si="15"/>
        <v>0</v>
      </c>
      <c r="G151">
        <f t="shared" si="16"/>
        <v>0</v>
      </c>
      <c r="H151">
        <f t="shared" si="17"/>
        <v>1</v>
      </c>
    </row>
    <row r="152" spans="1:8">
      <c r="A152" t="s">
        <v>9</v>
      </c>
      <c r="B152">
        <f t="shared" si="12"/>
        <v>0</v>
      </c>
      <c r="C152">
        <f t="shared" si="13"/>
        <v>1</v>
      </c>
      <c r="D152">
        <f t="shared" si="14"/>
        <v>0</v>
      </c>
      <c r="E152" t="s">
        <v>38</v>
      </c>
      <c r="F152">
        <f t="shared" si="15"/>
        <v>0</v>
      </c>
      <c r="G152">
        <f t="shared" si="16"/>
        <v>0</v>
      </c>
      <c r="H152">
        <f t="shared" si="17"/>
        <v>1</v>
      </c>
    </row>
    <row r="153" spans="1:8">
      <c r="A153" t="s">
        <v>9</v>
      </c>
      <c r="B153">
        <f t="shared" si="12"/>
        <v>0</v>
      </c>
      <c r="C153">
        <f t="shared" si="13"/>
        <v>1</v>
      </c>
      <c r="D153">
        <f t="shared" si="14"/>
        <v>0</v>
      </c>
      <c r="E153" t="s">
        <v>38</v>
      </c>
      <c r="F153">
        <f t="shared" si="15"/>
        <v>0</v>
      </c>
      <c r="G153">
        <f t="shared" si="16"/>
        <v>0</v>
      </c>
      <c r="H153">
        <f t="shared" si="17"/>
        <v>1</v>
      </c>
    </row>
    <row r="154" spans="1:8">
      <c r="A154" t="s">
        <v>8</v>
      </c>
      <c r="B154">
        <f t="shared" si="12"/>
        <v>1</v>
      </c>
      <c r="C154">
        <f t="shared" si="13"/>
        <v>0</v>
      </c>
      <c r="D154">
        <f t="shared" si="14"/>
        <v>0</v>
      </c>
      <c r="E154" t="s">
        <v>30</v>
      </c>
      <c r="F154">
        <f t="shared" si="15"/>
        <v>0</v>
      </c>
      <c r="G154">
        <f t="shared" si="16"/>
        <v>1</v>
      </c>
      <c r="H154">
        <f t="shared" si="17"/>
        <v>0</v>
      </c>
    </row>
    <row r="155" spans="1:8">
      <c r="A155" t="s">
        <v>8</v>
      </c>
      <c r="B155">
        <f t="shared" si="12"/>
        <v>1</v>
      </c>
      <c r="C155">
        <f t="shared" si="13"/>
        <v>0</v>
      </c>
      <c r="D155">
        <f t="shared" si="14"/>
        <v>0</v>
      </c>
      <c r="E155" t="s">
        <v>30</v>
      </c>
      <c r="F155">
        <f t="shared" si="15"/>
        <v>0</v>
      </c>
      <c r="G155">
        <f t="shared" si="16"/>
        <v>1</v>
      </c>
      <c r="H155">
        <f t="shared" si="17"/>
        <v>0</v>
      </c>
    </row>
    <row r="156" spans="1:8">
      <c r="A156" t="s">
        <v>8</v>
      </c>
      <c r="B156">
        <f t="shared" si="12"/>
        <v>1</v>
      </c>
      <c r="C156">
        <f t="shared" si="13"/>
        <v>0</v>
      </c>
      <c r="D156">
        <f t="shared" si="14"/>
        <v>0</v>
      </c>
      <c r="E156" t="s">
        <v>30</v>
      </c>
      <c r="F156">
        <f t="shared" si="15"/>
        <v>0</v>
      </c>
      <c r="G156">
        <f t="shared" si="16"/>
        <v>1</v>
      </c>
      <c r="H156">
        <f t="shared" si="17"/>
        <v>0</v>
      </c>
    </row>
    <row r="157" spans="1:8">
      <c r="A157" t="s">
        <v>8</v>
      </c>
      <c r="B157">
        <f t="shared" si="12"/>
        <v>1</v>
      </c>
      <c r="C157">
        <f t="shared" si="13"/>
        <v>0</v>
      </c>
      <c r="D157">
        <f t="shared" si="14"/>
        <v>0</v>
      </c>
      <c r="E157" t="s">
        <v>30</v>
      </c>
      <c r="F157">
        <f t="shared" si="15"/>
        <v>0</v>
      </c>
      <c r="G157">
        <f t="shared" si="16"/>
        <v>1</v>
      </c>
      <c r="H157">
        <f t="shared" si="17"/>
        <v>0</v>
      </c>
    </row>
    <row r="158" spans="1:8">
      <c r="A158" t="s">
        <v>32</v>
      </c>
      <c r="B158">
        <f t="shared" si="12"/>
        <v>0</v>
      </c>
      <c r="C158">
        <f t="shared" si="13"/>
        <v>0</v>
      </c>
      <c r="D158">
        <f t="shared" si="14"/>
        <v>0</v>
      </c>
      <c r="E158" t="s">
        <v>38</v>
      </c>
      <c r="F158">
        <f t="shared" si="15"/>
        <v>0</v>
      </c>
      <c r="G158">
        <f t="shared" si="16"/>
        <v>0</v>
      </c>
      <c r="H158">
        <f t="shared" si="17"/>
        <v>1</v>
      </c>
    </row>
    <row r="159" spans="1:8">
      <c r="A159" t="s">
        <v>32</v>
      </c>
      <c r="B159">
        <f t="shared" si="12"/>
        <v>0</v>
      </c>
      <c r="C159">
        <f t="shared" si="13"/>
        <v>0</v>
      </c>
      <c r="D159">
        <f t="shared" si="14"/>
        <v>0</v>
      </c>
      <c r="E159" t="s">
        <v>38</v>
      </c>
      <c r="F159">
        <f t="shared" si="15"/>
        <v>0</v>
      </c>
      <c r="G159">
        <f t="shared" si="16"/>
        <v>0</v>
      </c>
      <c r="H159">
        <f t="shared" si="17"/>
        <v>1</v>
      </c>
    </row>
    <row r="160" spans="1:8">
      <c r="A160" t="s">
        <v>32</v>
      </c>
      <c r="B160">
        <f t="shared" si="12"/>
        <v>0</v>
      </c>
      <c r="C160">
        <f t="shared" si="13"/>
        <v>0</v>
      </c>
      <c r="D160">
        <f t="shared" si="14"/>
        <v>0</v>
      </c>
      <c r="E160" t="s">
        <v>38</v>
      </c>
      <c r="F160">
        <f t="shared" si="15"/>
        <v>0</v>
      </c>
      <c r="G160">
        <f t="shared" si="16"/>
        <v>0</v>
      </c>
      <c r="H160">
        <f t="shared" si="17"/>
        <v>1</v>
      </c>
    </row>
    <row r="161" spans="1:8">
      <c r="A161" t="s">
        <v>32</v>
      </c>
      <c r="B161">
        <f t="shared" si="12"/>
        <v>0</v>
      </c>
      <c r="C161">
        <f t="shared" si="13"/>
        <v>0</v>
      </c>
      <c r="D161">
        <f t="shared" si="14"/>
        <v>0</v>
      </c>
      <c r="E161" t="s">
        <v>38</v>
      </c>
      <c r="F161">
        <f t="shared" si="15"/>
        <v>0</v>
      </c>
      <c r="G161">
        <f t="shared" si="16"/>
        <v>0</v>
      </c>
      <c r="H161">
        <f t="shared" si="17"/>
        <v>1</v>
      </c>
    </row>
    <row r="162" spans="1:8">
      <c r="A162" t="s">
        <v>9</v>
      </c>
      <c r="B162">
        <f t="shared" si="12"/>
        <v>0</v>
      </c>
      <c r="C162">
        <f t="shared" si="13"/>
        <v>1</v>
      </c>
      <c r="D162">
        <f t="shared" si="14"/>
        <v>0</v>
      </c>
      <c r="E162" t="s">
        <v>30</v>
      </c>
      <c r="F162">
        <f t="shared" si="15"/>
        <v>0</v>
      </c>
      <c r="G162">
        <f t="shared" si="16"/>
        <v>1</v>
      </c>
      <c r="H162">
        <f t="shared" si="17"/>
        <v>0</v>
      </c>
    </row>
    <row r="163" spans="1:8">
      <c r="A163" t="s">
        <v>9</v>
      </c>
      <c r="B163">
        <f t="shared" si="12"/>
        <v>0</v>
      </c>
      <c r="C163">
        <f t="shared" si="13"/>
        <v>1</v>
      </c>
      <c r="D163">
        <f t="shared" si="14"/>
        <v>0</v>
      </c>
      <c r="E163" t="s">
        <v>30</v>
      </c>
      <c r="F163">
        <f t="shared" si="15"/>
        <v>0</v>
      </c>
      <c r="G163">
        <f t="shared" si="16"/>
        <v>1</v>
      </c>
      <c r="H163">
        <f t="shared" si="17"/>
        <v>0</v>
      </c>
    </row>
    <row r="164" spans="1:8">
      <c r="A164" t="s">
        <v>9</v>
      </c>
      <c r="B164">
        <f t="shared" si="12"/>
        <v>0</v>
      </c>
      <c r="C164">
        <f t="shared" si="13"/>
        <v>1</v>
      </c>
      <c r="D164">
        <f t="shared" si="14"/>
        <v>0</v>
      </c>
      <c r="E164" t="s">
        <v>30</v>
      </c>
      <c r="F164">
        <f t="shared" si="15"/>
        <v>0</v>
      </c>
      <c r="G164">
        <f t="shared" si="16"/>
        <v>1</v>
      </c>
      <c r="H164">
        <f t="shared" si="17"/>
        <v>0</v>
      </c>
    </row>
    <row r="165" spans="1:8">
      <c r="A165" t="s">
        <v>9</v>
      </c>
      <c r="B165">
        <f t="shared" si="12"/>
        <v>0</v>
      </c>
      <c r="C165">
        <f t="shared" si="13"/>
        <v>1</v>
      </c>
      <c r="D165">
        <f t="shared" si="14"/>
        <v>0</v>
      </c>
      <c r="E165" t="s">
        <v>30</v>
      </c>
      <c r="F165">
        <f t="shared" si="15"/>
        <v>0</v>
      </c>
      <c r="G165">
        <f t="shared" si="16"/>
        <v>1</v>
      </c>
      <c r="H165">
        <f t="shared" si="17"/>
        <v>0</v>
      </c>
    </row>
    <row r="166" spans="1:8">
      <c r="A166" t="s">
        <v>32</v>
      </c>
      <c r="B166">
        <f t="shared" si="12"/>
        <v>0</v>
      </c>
      <c r="C166">
        <f t="shared" si="13"/>
        <v>0</v>
      </c>
      <c r="D166">
        <f t="shared" si="14"/>
        <v>0</v>
      </c>
      <c r="E166" t="s">
        <v>38</v>
      </c>
      <c r="F166">
        <f t="shared" si="15"/>
        <v>0</v>
      </c>
      <c r="G166">
        <f t="shared" si="16"/>
        <v>0</v>
      </c>
      <c r="H166">
        <f t="shared" si="17"/>
        <v>1</v>
      </c>
    </row>
    <row r="167" spans="1:8">
      <c r="A167" t="s">
        <v>32</v>
      </c>
      <c r="B167">
        <f t="shared" si="12"/>
        <v>0</v>
      </c>
      <c r="C167">
        <f t="shared" si="13"/>
        <v>0</v>
      </c>
      <c r="D167">
        <f t="shared" si="14"/>
        <v>0</v>
      </c>
      <c r="E167" t="s">
        <v>38</v>
      </c>
      <c r="F167">
        <f t="shared" si="15"/>
        <v>0</v>
      </c>
      <c r="G167">
        <f t="shared" si="16"/>
        <v>0</v>
      </c>
      <c r="H167">
        <f t="shared" si="17"/>
        <v>1</v>
      </c>
    </row>
    <row r="168" spans="1:8">
      <c r="A168" t="s">
        <v>32</v>
      </c>
      <c r="B168">
        <f t="shared" si="12"/>
        <v>0</v>
      </c>
      <c r="C168">
        <f t="shared" si="13"/>
        <v>0</v>
      </c>
      <c r="D168">
        <f t="shared" si="14"/>
        <v>0</v>
      </c>
      <c r="E168" t="s">
        <v>38</v>
      </c>
      <c r="F168">
        <f t="shared" si="15"/>
        <v>0</v>
      </c>
      <c r="G168">
        <f t="shared" si="16"/>
        <v>0</v>
      </c>
      <c r="H168">
        <f t="shared" si="17"/>
        <v>1</v>
      </c>
    </row>
    <row r="169" spans="1:8">
      <c r="A169" t="s">
        <v>32</v>
      </c>
      <c r="B169">
        <f t="shared" si="12"/>
        <v>0</v>
      </c>
      <c r="C169">
        <f t="shared" si="13"/>
        <v>0</v>
      </c>
      <c r="D169">
        <f t="shared" si="14"/>
        <v>0</v>
      </c>
      <c r="E169" t="s">
        <v>38</v>
      </c>
      <c r="F169">
        <f t="shared" si="15"/>
        <v>0</v>
      </c>
      <c r="G169">
        <f t="shared" si="16"/>
        <v>0</v>
      </c>
      <c r="H169">
        <f t="shared" si="17"/>
        <v>1</v>
      </c>
    </row>
    <row r="170" spans="1:8">
      <c r="A170" t="s">
        <v>8</v>
      </c>
      <c r="B170">
        <f t="shared" si="12"/>
        <v>1</v>
      </c>
      <c r="C170">
        <f t="shared" si="13"/>
        <v>0</v>
      </c>
      <c r="D170">
        <f t="shared" si="14"/>
        <v>0</v>
      </c>
      <c r="E170" t="s">
        <v>28</v>
      </c>
      <c r="F170">
        <f t="shared" si="15"/>
        <v>1</v>
      </c>
      <c r="G170">
        <f t="shared" si="16"/>
        <v>0</v>
      </c>
      <c r="H170">
        <f t="shared" si="17"/>
        <v>0</v>
      </c>
    </row>
    <row r="171" spans="1:8">
      <c r="A171" t="s">
        <v>8</v>
      </c>
      <c r="B171">
        <f t="shared" si="12"/>
        <v>1</v>
      </c>
      <c r="C171">
        <f t="shared" si="13"/>
        <v>0</v>
      </c>
      <c r="D171">
        <f t="shared" si="14"/>
        <v>0</v>
      </c>
      <c r="E171" t="s">
        <v>28</v>
      </c>
      <c r="F171">
        <f t="shared" si="15"/>
        <v>1</v>
      </c>
      <c r="G171">
        <f t="shared" si="16"/>
        <v>0</v>
      </c>
      <c r="H171">
        <f t="shared" si="17"/>
        <v>0</v>
      </c>
    </row>
    <row r="172" spans="1:8">
      <c r="A172" t="s">
        <v>8</v>
      </c>
      <c r="B172">
        <f t="shared" si="12"/>
        <v>1</v>
      </c>
      <c r="C172">
        <f t="shared" si="13"/>
        <v>0</v>
      </c>
      <c r="D172">
        <f t="shared" si="14"/>
        <v>0</v>
      </c>
      <c r="E172" t="s">
        <v>28</v>
      </c>
      <c r="F172">
        <f t="shared" si="15"/>
        <v>1</v>
      </c>
      <c r="G172">
        <f t="shared" si="16"/>
        <v>0</v>
      </c>
      <c r="H172">
        <f t="shared" si="17"/>
        <v>0</v>
      </c>
    </row>
    <row r="173" spans="1:8">
      <c r="A173" t="s">
        <v>8</v>
      </c>
      <c r="B173">
        <f t="shared" si="12"/>
        <v>1</v>
      </c>
      <c r="C173">
        <f t="shared" si="13"/>
        <v>0</v>
      </c>
      <c r="D173">
        <f t="shared" si="14"/>
        <v>0</v>
      </c>
      <c r="E173" t="s">
        <v>28</v>
      </c>
      <c r="F173">
        <f t="shared" si="15"/>
        <v>1</v>
      </c>
      <c r="G173">
        <f t="shared" si="16"/>
        <v>0</v>
      </c>
      <c r="H173">
        <f t="shared" si="17"/>
        <v>0</v>
      </c>
    </row>
    <row r="174" spans="1:8">
      <c r="A174" t="s">
        <v>8</v>
      </c>
      <c r="B174">
        <f t="shared" si="12"/>
        <v>1</v>
      </c>
      <c r="C174">
        <f t="shared" si="13"/>
        <v>0</v>
      </c>
      <c r="D174">
        <f t="shared" si="14"/>
        <v>0</v>
      </c>
      <c r="E174" t="s">
        <v>28</v>
      </c>
      <c r="F174">
        <f t="shared" si="15"/>
        <v>1</v>
      </c>
      <c r="G174">
        <f t="shared" si="16"/>
        <v>0</v>
      </c>
      <c r="H174">
        <f t="shared" si="17"/>
        <v>0</v>
      </c>
    </row>
    <row r="175" spans="1:8">
      <c r="A175" t="s">
        <v>8</v>
      </c>
      <c r="B175">
        <f t="shared" si="12"/>
        <v>1</v>
      </c>
      <c r="C175">
        <f t="shared" si="13"/>
        <v>0</v>
      </c>
      <c r="D175">
        <f t="shared" si="14"/>
        <v>0</v>
      </c>
      <c r="E175" t="s">
        <v>28</v>
      </c>
      <c r="F175">
        <f t="shared" si="15"/>
        <v>1</v>
      </c>
      <c r="G175">
        <f t="shared" si="16"/>
        <v>0</v>
      </c>
      <c r="H175">
        <f t="shared" si="17"/>
        <v>0</v>
      </c>
    </row>
    <row r="176" spans="1:8">
      <c r="A176" t="s">
        <v>8</v>
      </c>
      <c r="B176">
        <f t="shared" si="12"/>
        <v>1</v>
      </c>
      <c r="C176">
        <f t="shared" si="13"/>
        <v>0</v>
      </c>
      <c r="D176">
        <f t="shared" si="14"/>
        <v>0</v>
      </c>
      <c r="E176" t="s">
        <v>28</v>
      </c>
      <c r="F176">
        <f t="shared" si="15"/>
        <v>1</v>
      </c>
      <c r="G176">
        <f t="shared" si="16"/>
        <v>0</v>
      </c>
      <c r="H176">
        <f t="shared" si="17"/>
        <v>0</v>
      </c>
    </row>
    <row r="177" spans="1:8">
      <c r="A177" t="s">
        <v>8</v>
      </c>
      <c r="B177">
        <f t="shared" si="12"/>
        <v>1</v>
      </c>
      <c r="C177">
        <f t="shared" si="13"/>
        <v>0</v>
      </c>
      <c r="D177">
        <f t="shared" si="14"/>
        <v>0</v>
      </c>
      <c r="E177" t="s">
        <v>28</v>
      </c>
      <c r="F177">
        <f t="shared" si="15"/>
        <v>1</v>
      </c>
      <c r="G177">
        <f t="shared" si="16"/>
        <v>0</v>
      </c>
      <c r="H177">
        <f t="shared" si="17"/>
        <v>0</v>
      </c>
    </row>
    <row r="178" spans="1:8">
      <c r="A178" t="s">
        <v>10</v>
      </c>
      <c r="B178">
        <f t="shared" si="12"/>
        <v>0</v>
      </c>
      <c r="C178">
        <f t="shared" si="13"/>
        <v>0</v>
      </c>
      <c r="D178">
        <f t="shared" si="14"/>
        <v>1</v>
      </c>
      <c r="E178" t="s">
        <v>33</v>
      </c>
      <c r="F178">
        <f t="shared" si="15"/>
        <v>0</v>
      </c>
      <c r="G178">
        <f t="shared" si="16"/>
        <v>0</v>
      </c>
      <c r="H178">
        <f t="shared" si="17"/>
        <v>0</v>
      </c>
    </row>
    <row r="179" spans="1:8">
      <c r="A179" t="s">
        <v>10</v>
      </c>
      <c r="B179">
        <f t="shared" si="12"/>
        <v>0</v>
      </c>
      <c r="C179">
        <f t="shared" si="13"/>
        <v>0</v>
      </c>
      <c r="D179">
        <f t="shared" si="14"/>
        <v>1</v>
      </c>
      <c r="E179" t="s">
        <v>33</v>
      </c>
      <c r="F179">
        <f t="shared" si="15"/>
        <v>0</v>
      </c>
      <c r="G179">
        <f t="shared" si="16"/>
        <v>0</v>
      </c>
      <c r="H179">
        <f t="shared" si="17"/>
        <v>0</v>
      </c>
    </row>
    <row r="180" spans="1:8">
      <c r="A180" t="s">
        <v>10</v>
      </c>
      <c r="B180">
        <f t="shared" si="12"/>
        <v>0</v>
      </c>
      <c r="C180">
        <f t="shared" si="13"/>
        <v>0</v>
      </c>
      <c r="D180">
        <f t="shared" si="14"/>
        <v>1</v>
      </c>
      <c r="E180" t="s">
        <v>33</v>
      </c>
      <c r="F180">
        <f t="shared" si="15"/>
        <v>0</v>
      </c>
      <c r="G180">
        <f t="shared" si="16"/>
        <v>0</v>
      </c>
      <c r="H180">
        <f t="shared" si="17"/>
        <v>0</v>
      </c>
    </row>
    <row r="181" spans="1:8">
      <c r="A181" t="s">
        <v>10</v>
      </c>
      <c r="B181">
        <f t="shared" si="12"/>
        <v>0</v>
      </c>
      <c r="C181">
        <f t="shared" si="13"/>
        <v>0</v>
      </c>
      <c r="D181">
        <f t="shared" si="14"/>
        <v>1</v>
      </c>
      <c r="E181" t="s">
        <v>33</v>
      </c>
      <c r="F181">
        <f t="shared" si="15"/>
        <v>0</v>
      </c>
      <c r="G181">
        <f t="shared" si="16"/>
        <v>0</v>
      </c>
      <c r="H181">
        <f t="shared" si="17"/>
        <v>0</v>
      </c>
    </row>
    <row r="182" spans="1:8">
      <c r="A182" t="s">
        <v>10</v>
      </c>
      <c r="B182">
        <f t="shared" si="12"/>
        <v>0</v>
      </c>
      <c r="C182">
        <f t="shared" si="13"/>
        <v>0</v>
      </c>
      <c r="D182">
        <f t="shared" si="14"/>
        <v>1</v>
      </c>
      <c r="E182" t="s">
        <v>28</v>
      </c>
      <c r="F182">
        <f t="shared" si="15"/>
        <v>1</v>
      </c>
      <c r="G182">
        <f t="shared" si="16"/>
        <v>0</v>
      </c>
      <c r="H182">
        <f t="shared" si="17"/>
        <v>0</v>
      </c>
    </row>
    <row r="183" spans="1:8">
      <c r="A183" t="s">
        <v>10</v>
      </c>
      <c r="B183">
        <f t="shared" si="12"/>
        <v>0</v>
      </c>
      <c r="C183">
        <f t="shared" si="13"/>
        <v>0</v>
      </c>
      <c r="D183">
        <f t="shared" si="14"/>
        <v>1</v>
      </c>
      <c r="E183" t="s">
        <v>28</v>
      </c>
      <c r="F183">
        <f t="shared" si="15"/>
        <v>1</v>
      </c>
      <c r="G183">
        <f t="shared" si="16"/>
        <v>0</v>
      </c>
      <c r="H183">
        <f t="shared" si="17"/>
        <v>0</v>
      </c>
    </row>
    <row r="184" spans="1:8">
      <c r="A184" t="s">
        <v>10</v>
      </c>
      <c r="B184">
        <f t="shared" si="12"/>
        <v>0</v>
      </c>
      <c r="C184">
        <f t="shared" si="13"/>
        <v>0</v>
      </c>
      <c r="D184">
        <f t="shared" si="14"/>
        <v>1</v>
      </c>
      <c r="E184" t="s">
        <v>28</v>
      </c>
      <c r="F184">
        <f t="shared" si="15"/>
        <v>1</v>
      </c>
      <c r="G184">
        <f t="shared" si="16"/>
        <v>0</v>
      </c>
      <c r="H184">
        <f t="shared" si="17"/>
        <v>0</v>
      </c>
    </row>
    <row r="185" spans="1:8">
      <c r="A185" t="s">
        <v>10</v>
      </c>
      <c r="B185">
        <f t="shared" si="12"/>
        <v>0</v>
      </c>
      <c r="C185">
        <f t="shared" si="13"/>
        <v>0</v>
      </c>
      <c r="D185">
        <f t="shared" si="14"/>
        <v>1</v>
      </c>
      <c r="E185" t="s">
        <v>28</v>
      </c>
      <c r="F185">
        <f t="shared" si="15"/>
        <v>1</v>
      </c>
      <c r="G185">
        <f t="shared" si="16"/>
        <v>0</v>
      </c>
      <c r="H185">
        <f t="shared" si="17"/>
        <v>0</v>
      </c>
    </row>
    <row r="186" spans="1:8">
      <c r="A186" t="s">
        <v>32</v>
      </c>
      <c r="B186">
        <f t="shared" si="12"/>
        <v>0</v>
      </c>
      <c r="C186">
        <f t="shared" si="13"/>
        <v>0</v>
      </c>
      <c r="D186">
        <f t="shared" si="14"/>
        <v>0</v>
      </c>
      <c r="E186" t="s">
        <v>30</v>
      </c>
      <c r="F186">
        <f t="shared" si="15"/>
        <v>0</v>
      </c>
      <c r="G186">
        <f t="shared" si="16"/>
        <v>1</v>
      </c>
      <c r="H186">
        <f t="shared" si="17"/>
        <v>0</v>
      </c>
    </row>
    <row r="187" spans="1:8">
      <c r="A187" t="s">
        <v>32</v>
      </c>
      <c r="B187">
        <f t="shared" si="12"/>
        <v>0</v>
      </c>
      <c r="C187">
        <f t="shared" si="13"/>
        <v>0</v>
      </c>
      <c r="D187">
        <f t="shared" si="14"/>
        <v>0</v>
      </c>
      <c r="E187" t="s">
        <v>30</v>
      </c>
      <c r="F187">
        <f t="shared" si="15"/>
        <v>0</v>
      </c>
      <c r="G187">
        <f t="shared" si="16"/>
        <v>1</v>
      </c>
      <c r="H187">
        <f t="shared" si="17"/>
        <v>0</v>
      </c>
    </row>
    <row r="188" spans="1:8">
      <c r="A188" t="s">
        <v>32</v>
      </c>
      <c r="B188">
        <f t="shared" si="12"/>
        <v>0</v>
      </c>
      <c r="C188">
        <f t="shared" si="13"/>
        <v>0</v>
      </c>
      <c r="D188">
        <f t="shared" si="14"/>
        <v>0</v>
      </c>
      <c r="E188" t="s">
        <v>30</v>
      </c>
      <c r="F188">
        <f t="shared" si="15"/>
        <v>0</v>
      </c>
      <c r="G188">
        <f t="shared" si="16"/>
        <v>1</v>
      </c>
      <c r="H188">
        <f t="shared" si="17"/>
        <v>0</v>
      </c>
    </row>
    <row r="189" spans="1:8">
      <c r="A189" t="s">
        <v>32</v>
      </c>
      <c r="B189">
        <f t="shared" si="12"/>
        <v>0</v>
      </c>
      <c r="C189">
        <f t="shared" si="13"/>
        <v>0</v>
      </c>
      <c r="D189">
        <f t="shared" si="14"/>
        <v>0</v>
      </c>
      <c r="E189" t="s">
        <v>30</v>
      </c>
      <c r="F189">
        <f t="shared" si="15"/>
        <v>0</v>
      </c>
      <c r="G189">
        <f t="shared" si="16"/>
        <v>1</v>
      </c>
      <c r="H189">
        <f t="shared" si="17"/>
        <v>0</v>
      </c>
    </row>
    <row r="190" spans="1:8">
      <c r="A190" t="s">
        <v>8</v>
      </c>
      <c r="B190">
        <f t="shared" si="12"/>
        <v>1</v>
      </c>
      <c r="C190">
        <f t="shared" si="13"/>
        <v>0</v>
      </c>
      <c r="D190">
        <f t="shared" si="14"/>
        <v>0</v>
      </c>
      <c r="E190" t="s">
        <v>30</v>
      </c>
      <c r="F190">
        <f t="shared" si="15"/>
        <v>0</v>
      </c>
      <c r="G190">
        <f t="shared" si="16"/>
        <v>1</v>
      </c>
      <c r="H190">
        <f t="shared" si="17"/>
        <v>0</v>
      </c>
    </row>
    <row r="191" spans="1:8">
      <c r="A191" t="s">
        <v>8</v>
      </c>
      <c r="B191">
        <f t="shared" si="12"/>
        <v>1</v>
      </c>
      <c r="C191">
        <f t="shared" si="13"/>
        <v>0</v>
      </c>
      <c r="D191">
        <f t="shared" si="14"/>
        <v>0</v>
      </c>
      <c r="E191" t="s">
        <v>30</v>
      </c>
      <c r="F191">
        <f t="shared" si="15"/>
        <v>0</v>
      </c>
      <c r="G191">
        <f t="shared" si="16"/>
        <v>1</v>
      </c>
      <c r="H191">
        <f t="shared" si="17"/>
        <v>0</v>
      </c>
    </row>
    <row r="192" spans="1:8">
      <c r="A192" t="s">
        <v>8</v>
      </c>
      <c r="B192">
        <f t="shared" si="12"/>
        <v>1</v>
      </c>
      <c r="C192">
        <f t="shared" si="13"/>
        <v>0</v>
      </c>
      <c r="D192">
        <f t="shared" si="14"/>
        <v>0</v>
      </c>
      <c r="E192" t="s">
        <v>30</v>
      </c>
      <c r="F192">
        <f t="shared" si="15"/>
        <v>0</v>
      </c>
      <c r="G192">
        <f t="shared" si="16"/>
        <v>1</v>
      </c>
      <c r="H192">
        <f t="shared" si="17"/>
        <v>0</v>
      </c>
    </row>
    <row r="193" spans="1:8">
      <c r="A193" t="s">
        <v>8</v>
      </c>
      <c r="B193">
        <f t="shared" si="12"/>
        <v>1</v>
      </c>
      <c r="C193">
        <f t="shared" si="13"/>
        <v>0</v>
      </c>
      <c r="D193">
        <f t="shared" si="14"/>
        <v>0</v>
      </c>
      <c r="E193" t="s">
        <v>30</v>
      </c>
      <c r="F193">
        <f t="shared" si="15"/>
        <v>0</v>
      </c>
      <c r="G193">
        <f t="shared" si="16"/>
        <v>1</v>
      </c>
      <c r="H193">
        <f t="shared" si="17"/>
        <v>0</v>
      </c>
    </row>
    <row r="194" spans="1:8">
      <c r="A194" t="s">
        <v>10</v>
      </c>
      <c r="B194">
        <f t="shared" si="12"/>
        <v>0</v>
      </c>
      <c r="C194">
        <f t="shared" si="13"/>
        <v>0</v>
      </c>
      <c r="D194">
        <f t="shared" si="14"/>
        <v>1</v>
      </c>
      <c r="E194" t="s">
        <v>28</v>
      </c>
      <c r="F194">
        <f t="shared" si="15"/>
        <v>1</v>
      </c>
      <c r="G194">
        <f t="shared" si="16"/>
        <v>0</v>
      </c>
      <c r="H194">
        <f t="shared" si="17"/>
        <v>0</v>
      </c>
    </row>
    <row r="195" spans="1:8">
      <c r="A195" t="s">
        <v>10</v>
      </c>
      <c r="B195">
        <f t="shared" ref="B195:B258" si="18">IF(A195="East",1,0)</f>
        <v>0</v>
      </c>
      <c r="C195">
        <f t="shared" ref="C195:C258" si="19">IF(A195="South",1,0)</f>
        <v>0</v>
      </c>
      <c r="D195">
        <f t="shared" ref="D195:D258" si="20">IF(A195="West",1,0)</f>
        <v>1</v>
      </c>
      <c r="E195" t="s">
        <v>28</v>
      </c>
      <c r="F195">
        <f t="shared" ref="F195:F258" si="21">IF(E195="Residential",1,0)</f>
        <v>1</v>
      </c>
      <c r="G195">
        <f t="shared" ref="G195:G258" si="22">IF(E195="High Street",1,0)</f>
        <v>0</v>
      </c>
      <c r="H195">
        <f t="shared" ref="H195:H258" si="23">IF(E195="Mall",1,0)</f>
        <v>0</v>
      </c>
    </row>
    <row r="196" spans="1:8">
      <c r="A196" t="s">
        <v>10</v>
      </c>
      <c r="B196">
        <f t="shared" si="18"/>
        <v>0</v>
      </c>
      <c r="C196">
        <f t="shared" si="19"/>
        <v>0</v>
      </c>
      <c r="D196">
        <f t="shared" si="20"/>
        <v>1</v>
      </c>
      <c r="E196" t="s">
        <v>28</v>
      </c>
      <c r="F196">
        <f t="shared" si="21"/>
        <v>1</v>
      </c>
      <c r="G196">
        <f t="shared" si="22"/>
        <v>0</v>
      </c>
      <c r="H196">
        <f t="shared" si="23"/>
        <v>0</v>
      </c>
    </row>
    <row r="197" spans="1:8">
      <c r="A197" t="s">
        <v>10</v>
      </c>
      <c r="B197">
        <f t="shared" si="18"/>
        <v>0</v>
      </c>
      <c r="C197">
        <f t="shared" si="19"/>
        <v>0</v>
      </c>
      <c r="D197">
        <f t="shared" si="20"/>
        <v>1</v>
      </c>
      <c r="E197" t="s">
        <v>28</v>
      </c>
      <c r="F197">
        <f t="shared" si="21"/>
        <v>1</v>
      </c>
      <c r="G197">
        <f t="shared" si="22"/>
        <v>0</v>
      </c>
      <c r="H197">
        <f t="shared" si="23"/>
        <v>0</v>
      </c>
    </row>
    <row r="198" spans="1:8">
      <c r="A198" t="s">
        <v>32</v>
      </c>
      <c r="B198">
        <f t="shared" si="18"/>
        <v>0</v>
      </c>
      <c r="C198">
        <f t="shared" si="19"/>
        <v>0</v>
      </c>
      <c r="D198">
        <f t="shared" si="20"/>
        <v>0</v>
      </c>
      <c r="E198" t="s">
        <v>28</v>
      </c>
      <c r="F198">
        <f t="shared" si="21"/>
        <v>1</v>
      </c>
      <c r="G198">
        <f t="shared" si="22"/>
        <v>0</v>
      </c>
      <c r="H198">
        <f t="shared" si="23"/>
        <v>0</v>
      </c>
    </row>
    <row r="199" spans="1:8">
      <c r="A199" t="s">
        <v>32</v>
      </c>
      <c r="B199">
        <f t="shared" si="18"/>
        <v>0</v>
      </c>
      <c r="C199">
        <f t="shared" si="19"/>
        <v>0</v>
      </c>
      <c r="D199">
        <f t="shared" si="20"/>
        <v>0</v>
      </c>
      <c r="E199" t="s">
        <v>28</v>
      </c>
      <c r="F199">
        <f t="shared" si="21"/>
        <v>1</v>
      </c>
      <c r="G199">
        <f t="shared" si="22"/>
        <v>0</v>
      </c>
      <c r="H199">
        <f t="shared" si="23"/>
        <v>0</v>
      </c>
    </row>
    <row r="200" spans="1:8">
      <c r="A200" t="s">
        <v>32</v>
      </c>
      <c r="B200">
        <f t="shared" si="18"/>
        <v>0</v>
      </c>
      <c r="C200">
        <f t="shared" si="19"/>
        <v>0</v>
      </c>
      <c r="D200">
        <f t="shared" si="20"/>
        <v>0</v>
      </c>
      <c r="E200" t="s">
        <v>28</v>
      </c>
      <c r="F200">
        <f t="shared" si="21"/>
        <v>1</v>
      </c>
      <c r="G200">
        <f t="shared" si="22"/>
        <v>0</v>
      </c>
      <c r="H200">
        <f t="shared" si="23"/>
        <v>0</v>
      </c>
    </row>
    <row r="201" spans="1:8">
      <c r="A201" t="s">
        <v>32</v>
      </c>
      <c r="B201">
        <f t="shared" si="18"/>
        <v>0</v>
      </c>
      <c r="C201">
        <f t="shared" si="19"/>
        <v>0</v>
      </c>
      <c r="D201">
        <f t="shared" si="20"/>
        <v>0</v>
      </c>
      <c r="E201" t="s">
        <v>28</v>
      </c>
      <c r="F201">
        <f t="shared" si="21"/>
        <v>1</v>
      </c>
      <c r="G201">
        <f t="shared" si="22"/>
        <v>0</v>
      </c>
      <c r="H201">
        <f t="shared" si="23"/>
        <v>0</v>
      </c>
    </row>
    <row r="202" spans="1:8">
      <c r="A202" t="s">
        <v>8</v>
      </c>
      <c r="B202">
        <f t="shared" si="18"/>
        <v>1</v>
      </c>
      <c r="C202">
        <f t="shared" si="19"/>
        <v>0</v>
      </c>
      <c r="D202">
        <f t="shared" si="20"/>
        <v>0</v>
      </c>
      <c r="E202" t="s">
        <v>33</v>
      </c>
      <c r="F202">
        <f t="shared" si="21"/>
        <v>0</v>
      </c>
      <c r="G202">
        <f t="shared" si="22"/>
        <v>0</v>
      </c>
      <c r="H202">
        <f t="shared" si="23"/>
        <v>0</v>
      </c>
    </row>
    <row r="203" spans="1:8">
      <c r="A203" t="s">
        <v>8</v>
      </c>
      <c r="B203">
        <f t="shared" si="18"/>
        <v>1</v>
      </c>
      <c r="C203">
        <f t="shared" si="19"/>
        <v>0</v>
      </c>
      <c r="D203">
        <f t="shared" si="20"/>
        <v>0</v>
      </c>
      <c r="E203" t="s">
        <v>33</v>
      </c>
      <c r="F203">
        <f t="shared" si="21"/>
        <v>0</v>
      </c>
      <c r="G203">
        <f t="shared" si="22"/>
        <v>0</v>
      </c>
      <c r="H203">
        <f t="shared" si="23"/>
        <v>0</v>
      </c>
    </row>
    <row r="204" spans="1:8">
      <c r="A204" t="s">
        <v>8</v>
      </c>
      <c r="B204">
        <f t="shared" si="18"/>
        <v>1</v>
      </c>
      <c r="C204">
        <f t="shared" si="19"/>
        <v>0</v>
      </c>
      <c r="D204">
        <f t="shared" si="20"/>
        <v>0</v>
      </c>
      <c r="E204" t="s">
        <v>33</v>
      </c>
      <c r="F204">
        <f t="shared" si="21"/>
        <v>0</v>
      </c>
      <c r="G204">
        <f t="shared" si="22"/>
        <v>0</v>
      </c>
      <c r="H204">
        <f t="shared" si="23"/>
        <v>0</v>
      </c>
    </row>
    <row r="205" spans="1:8">
      <c r="A205" t="s">
        <v>8</v>
      </c>
      <c r="B205">
        <f t="shared" si="18"/>
        <v>1</v>
      </c>
      <c r="C205">
        <f t="shared" si="19"/>
        <v>0</v>
      </c>
      <c r="D205">
        <f t="shared" si="20"/>
        <v>0</v>
      </c>
      <c r="E205" t="s">
        <v>33</v>
      </c>
      <c r="F205">
        <f t="shared" si="21"/>
        <v>0</v>
      </c>
      <c r="G205">
        <f t="shared" si="22"/>
        <v>0</v>
      </c>
      <c r="H205">
        <f t="shared" si="23"/>
        <v>0</v>
      </c>
    </row>
    <row r="206" spans="1:8">
      <c r="A206" t="s">
        <v>8</v>
      </c>
      <c r="B206">
        <f t="shared" si="18"/>
        <v>1</v>
      </c>
      <c r="C206">
        <f t="shared" si="19"/>
        <v>0</v>
      </c>
      <c r="D206">
        <f t="shared" si="20"/>
        <v>0</v>
      </c>
      <c r="E206" t="s">
        <v>38</v>
      </c>
      <c r="F206">
        <f t="shared" si="21"/>
        <v>0</v>
      </c>
      <c r="G206">
        <f t="shared" si="22"/>
        <v>0</v>
      </c>
      <c r="H206">
        <f t="shared" si="23"/>
        <v>1</v>
      </c>
    </row>
    <row r="207" spans="1:8">
      <c r="A207" t="s">
        <v>8</v>
      </c>
      <c r="B207">
        <f t="shared" si="18"/>
        <v>1</v>
      </c>
      <c r="C207">
        <f t="shared" si="19"/>
        <v>0</v>
      </c>
      <c r="D207">
        <f t="shared" si="20"/>
        <v>0</v>
      </c>
      <c r="E207" t="s">
        <v>38</v>
      </c>
      <c r="F207">
        <f t="shared" si="21"/>
        <v>0</v>
      </c>
      <c r="G207">
        <f t="shared" si="22"/>
        <v>0</v>
      </c>
      <c r="H207">
        <f t="shared" si="23"/>
        <v>1</v>
      </c>
    </row>
    <row r="208" spans="1:8">
      <c r="A208" t="s">
        <v>8</v>
      </c>
      <c r="B208">
        <f t="shared" si="18"/>
        <v>1</v>
      </c>
      <c r="C208">
        <f t="shared" si="19"/>
        <v>0</v>
      </c>
      <c r="D208">
        <f t="shared" si="20"/>
        <v>0</v>
      </c>
      <c r="E208" t="s">
        <v>38</v>
      </c>
      <c r="F208">
        <f t="shared" si="21"/>
        <v>0</v>
      </c>
      <c r="G208">
        <f t="shared" si="22"/>
        <v>0</v>
      </c>
      <c r="H208">
        <f t="shared" si="23"/>
        <v>1</v>
      </c>
    </row>
    <row r="209" spans="1:8">
      <c r="A209" t="s">
        <v>8</v>
      </c>
      <c r="B209">
        <f t="shared" si="18"/>
        <v>1</v>
      </c>
      <c r="C209">
        <f t="shared" si="19"/>
        <v>0</v>
      </c>
      <c r="D209">
        <f t="shared" si="20"/>
        <v>0</v>
      </c>
      <c r="E209" t="s">
        <v>38</v>
      </c>
      <c r="F209">
        <f t="shared" si="21"/>
        <v>0</v>
      </c>
      <c r="G209">
        <f t="shared" si="22"/>
        <v>0</v>
      </c>
      <c r="H209">
        <f t="shared" si="23"/>
        <v>1</v>
      </c>
    </row>
    <row r="210" spans="1:8">
      <c r="A210" t="s">
        <v>8</v>
      </c>
      <c r="B210">
        <f t="shared" si="18"/>
        <v>1</v>
      </c>
      <c r="C210">
        <f t="shared" si="19"/>
        <v>0</v>
      </c>
      <c r="D210">
        <f t="shared" si="20"/>
        <v>0</v>
      </c>
      <c r="E210" t="s">
        <v>30</v>
      </c>
      <c r="F210">
        <f t="shared" si="21"/>
        <v>0</v>
      </c>
      <c r="G210">
        <f t="shared" si="22"/>
        <v>1</v>
      </c>
      <c r="H210">
        <f t="shared" si="23"/>
        <v>0</v>
      </c>
    </row>
    <row r="211" spans="1:8">
      <c r="A211" t="s">
        <v>8</v>
      </c>
      <c r="B211">
        <f t="shared" si="18"/>
        <v>1</v>
      </c>
      <c r="C211">
        <f t="shared" si="19"/>
        <v>0</v>
      </c>
      <c r="D211">
        <f t="shared" si="20"/>
        <v>0</v>
      </c>
      <c r="E211" t="s">
        <v>30</v>
      </c>
      <c r="F211">
        <f t="shared" si="21"/>
        <v>0</v>
      </c>
      <c r="G211">
        <f t="shared" si="22"/>
        <v>1</v>
      </c>
      <c r="H211">
        <f t="shared" si="23"/>
        <v>0</v>
      </c>
    </row>
    <row r="212" spans="1:8">
      <c r="A212" t="s">
        <v>8</v>
      </c>
      <c r="B212">
        <f t="shared" si="18"/>
        <v>1</v>
      </c>
      <c r="C212">
        <f t="shared" si="19"/>
        <v>0</v>
      </c>
      <c r="D212">
        <f t="shared" si="20"/>
        <v>0</v>
      </c>
      <c r="E212" t="s">
        <v>30</v>
      </c>
      <c r="F212">
        <f t="shared" si="21"/>
        <v>0</v>
      </c>
      <c r="G212">
        <f t="shared" si="22"/>
        <v>1</v>
      </c>
      <c r="H212">
        <f t="shared" si="23"/>
        <v>0</v>
      </c>
    </row>
    <row r="213" spans="1:8">
      <c r="A213" t="s">
        <v>8</v>
      </c>
      <c r="B213">
        <f t="shared" si="18"/>
        <v>1</v>
      </c>
      <c r="C213">
        <f t="shared" si="19"/>
        <v>0</v>
      </c>
      <c r="D213">
        <f t="shared" si="20"/>
        <v>0</v>
      </c>
      <c r="E213" t="s">
        <v>30</v>
      </c>
      <c r="F213">
        <f t="shared" si="21"/>
        <v>0</v>
      </c>
      <c r="G213">
        <f t="shared" si="22"/>
        <v>1</v>
      </c>
      <c r="H213">
        <f t="shared" si="23"/>
        <v>0</v>
      </c>
    </row>
    <row r="214" spans="1:8">
      <c r="A214" t="s">
        <v>10</v>
      </c>
      <c r="B214">
        <f t="shared" si="18"/>
        <v>0</v>
      </c>
      <c r="C214">
        <f t="shared" si="19"/>
        <v>0</v>
      </c>
      <c r="D214">
        <f t="shared" si="20"/>
        <v>1</v>
      </c>
      <c r="E214" t="s">
        <v>28</v>
      </c>
      <c r="F214">
        <f t="shared" si="21"/>
        <v>1</v>
      </c>
      <c r="G214">
        <f t="shared" si="22"/>
        <v>0</v>
      </c>
      <c r="H214">
        <f t="shared" si="23"/>
        <v>0</v>
      </c>
    </row>
    <row r="215" spans="1:8">
      <c r="A215" t="s">
        <v>10</v>
      </c>
      <c r="B215">
        <f t="shared" si="18"/>
        <v>0</v>
      </c>
      <c r="C215">
        <f t="shared" si="19"/>
        <v>0</v>
      </c>
      <c r="D215">
        <f t="shared" si="20"/>
        <v>1</v>
      </c>
      <c r="E215" t="s">
        <v>28</v>
      </c>
      <c r="F215">
        <f t="shared" si="21"/>
        <v>1</v>
      </c>
      <c r="G215">
        <f t="shared" si="22"/>
        <v>0</v>
      </c>
      <c r="H215">
        <f t="shared" si="23"/>
        <v>0</v>
      </c>
    </row>
    <row r="216" spans="1:8">
      <c r="A216" t="s">
        <v>10</v>
      </c>
      <c r="B216">
        <f t="shared" si="18"/>
        <v>0</v>
      </c>
      <c r="C216">
        <f t="shared" si="19"/>
        <v>0</v>
      </c>
      <c r="D216">
        <f t="shared" si="20"/>
        <v>1</v>
      </c>
      <c r="E216" t="s">
        <v>28</v>
      </c>
      <c r="F216">
        <f t="shared" si="21"/>
        <v>1</v>
      </c>
      <c r="G216">
        <f t="shared" si="22"/>
        <v>0</v>
      </c>
      <c r="H216">
        <f t="shared" si="23"/>
        <v>0</v>
      </c>
    </row>
    <row r="217" spans="1:8">
      <c r="A217" t="s">
        <v>10</v>
      </c>
      <c r="B217">
        <f t="shared" si="18"/>
        <v>0</v>
      </c>
      <c r="C217">
        <f t="shared" si="19"/>
        <v>0</v>
      </c>
      <c r="D217">
        <f t="shared" si="20"/>
        <v>1</v>
      </c>
      <c r="E217" t="s">
        <v>28</v>
      </c>
      <c r="F217">
        <f t="shared" si="21"/>
        <v>1</v>
      </c>
      <c r="G217">
        <f t="shared" si="22"/>
        <v>0</v>
      </c>
      <c r="H217">
        <f t="shared" si="23"/>
        <v>0</v>
      </c>
    </row>
    <row r="218" spans="1:8">
      <c r="A218" t="s">
        <v>32</v>
      </c>
      <c r="B218">
        <f t="shared" si="18"/>
        <v>0</v>
      </c>
      <c r="C218">
        <f t="shared" si="19"/>
        <v>0</v>
      </c>
      <c r="D218">
        <f t="shared" si="20"/>
        <v>0</v>
      </c>
      <c r="E218" t="s">
        <v>33</v>
      </c>
      <c r="F218">
        <f t="shared" si="21"/>
        <v>0</v>
      </c>
      <c r="G218">
        <f t="shared" si="22"/>
        <v>0</v>
      </c>
      <c r="H218">
        <f t="shared" si="23"/>
        <v>0</v>
      </c>
    </row>
    <row r="219" spans="1:8">
      <c r="A219" t="s">
        <v>32</v>
      </c>
      <c r="B219">
        <f t="shared" si="18"/>
        <v>0</v>
      </c>
      <c r="C219">
        <f t="shared" si="19"/>
        <v>0</v>
      </c>
      <c r="D219">
        <f t="shared" si="20"/>
        <v>0</v>
      </c>
      <c r="E219" t="s">
        <v>33</v>
      </c>
      <c r="F219">
        <f t="shared" si="21"/>
        <v>0</v>
      </c>
      <c r="G219">
        <f t="shared" si="22"/>
        <v>0</v>
      </c>
      <c r="H219">
        <f t="shared" si="23"/>
        <v>0</v>
      </c>
    </row>
    <row r="220" spans="1:8">
      <c r="A220" t="s">
        <v>32</v>
      </c>
      <c r="B220">
        <f t="shared" si="18"/>
        <v>0</v>
      </c>
      <c r="C220">
        <f t="shared" si="19"/>
        <v>0</v>
      </c>
      <c r="D220">
        <f t="shared" si="20"/>
        <v>0</v>
      </c>
      <c r="E220" t="s">
        <v>33</v>
      </c>
      <c r="F220">
        <f t="shared" si="21"/>
        <v>0</v>
      </c>
      <c r="G220">
        <f t="shared" si="22"/>
        <v>0</v>
      </c>
      <c r="H220">
        <f t="shared" si="23"/>
        <v>0</v>
      </c>
    </row>
    <row r="221" spans="1:8">
      <c r="A221" t="s">
        <v>32</v>
      </c>
      <c r="B221">
        <f t="shared" si="18"/>
        <v>0</v>
      </c>
      <c r="C221">
        <f t="shared" si="19"/>
        <v>0</v>
      </c>
      <c r="D221">
        <f t="shared" si="20"/>
        <v>0</v>
      </c>
      <c r="E221" t="s">
        <v>33</v>
      </c>
      <c r="F221">
        <f t="shared" si="21"/>
        <v>0</v>
      </c>
      <c r="G221">
        <f t="shared" si="22"/>
        <v>0</v>
      </c>
      <c r="H221">
        <f t="shared" si="23"/>
        <v>0</v>
      </c>
    </row>
    <row r="222" spans="1:8">
      <c r="A222" t="s">
        <v>8</v>
      </c>
      <c r="B222">
        <f t="shared" si="18"/>
        <v>1</v>
      </c>
      <c r="C222">
        <f t="shared" si="19"/>
        <v>0</v>
      </c>
      <c r="D222">
        <f t="shared" si="20"/>
        <v>0</v>
      </c>
      <c r="E222" t="s">
        <v>30</v>
      </c>
      <c r="F222">
        <f t="shared" si="21"/>
        <v>0</v>
      </c>
      <c r="G222">
        <f t="shared" si="22"/>
        <v>1</v>
      </c>
      <c r="H222">
        <f t="shared" si="23"/>
        <v>0</v>
      </c>
    </row>
    <row r="223" spans="1:8">
      <c r="A223" t="s">
        <v>8</v>
      </c>
      <c r="B223">
        <f t="shared" si="18"/>
        <v>1</v>
      </c>
      <c r="C223">
        <f t="shared" si="19"/>
        <v>0</v>
      </c>
      <c r="D223">
        <f t="shared" si="20"/>
        <v>0</v>
      </c>
      <c r="E223" t="s">
        <v>30</v>
      </c>
      <c r="F223">
        <f t="shared" si="21"/>
        <v>0</v>
      </c>
      <c r="G223">
        <f t="shared" si="22"/>
        <v>1</v>
      </c>
      <c r="H223">
        <f t="shared" si="23"/>
        <v>0</v>
      </c>
    </row>
    <row r="224" spans="1:8">
      <c r="A224" t="s">
        <v>8</v>
      </c>
      <c r="B224">
        <f t="shared" si="18"/>
        <v>1</v>
      </c>
      <c r="C224">
        <f t="shared" si="19"/>
        <v>0</v>
      </c>
      <c r="D224">
        <f t="shared" si="20"/>
        <v>0</v>
      </c>
      <c r="E224" t="s">
        <v>30</v>
      </c>
      <c r="F224">
        <f t="shared" si="21"/>
        <v>0</v>
      </c>
      <c r="G224">
        <f t="shared" si="22"/>
        <v>1</v>
      </c>
      <c r="H224">
        <f t="shared" si="23"/>
        <v>0</v>
      </c>
    </row>
    <row r="225" spans="1:8">
      <c r="A225" t="s">
        <v>8</v>
      </c>
      <c r="B225">
        <f t="shared" si="18"/>
        <v>1</v>
      </c>
      <c r="C225">
        <f t="shared" si="19"/>
        <v>0</v>
      </c>
      <c r="D225">
        <f t="shared" si="20"/>
        <v>0</v>
      </c>
      <c r="E225" t="s">
        <v>30</v>
      </c>
      <c r="F225">
        <f t="shared" si="21"/>
        <v>0</v>
      </c>
      <c r="G225">
        <f t="shared" si="22"/>
        <v>1</v>
      </c>
      <c r="H225">
        <f t="shared" si="23"/>
        <v>0</v>
      </c>
    </row>
    <row r="226" spans="1:8">
      <c r="A226" t="s">
        <v>8</v>
      </c>
      <c r="B226">
        <f t="shared" si="18"/>
        <v>1</v>
      </c>
      <c r="C226">
        <f t="shared" si="19"/>
        <v>0</v>
      </c>
      <c r="D226">
        <f t="shared" si="20"/>
        <v>0</v>
      </c>
      <c r="E226" t="s">
        <v>38</v>
      </c>
      <c r="F226">
        <f t="shared" si="21"/>
        <v>0</v>
      </c>
      <c r="G226">
        <f t="shared" si="22"/>
        <v>0</v>
      </c>
      <c r="H226">
        <f t="shared" si="23"/>
        <v>1</v>
      </c>
    </row>
    <row r="227" spans="1:8">
      <c r="A227" t="s">
        <v>8</v>
      </c>
      <c r="B227">
        <f t="shared" si="18"/>
        <v>1</v>
      </c>
      <c r="C227">
        <f t="shared" si="19"/>
        <v>0</v>
      </c>
      <c r="D227">
        <f t="shared" si="20"/>
        <v>0</v>
      </c>
      <c r="E227" t="s">
        <v>38</v>
      </c>
      <c r="F227">
        <f t="shared" si="21"/>
        <v>0</v>
      </c>
      <c r="G227">
        <f t="shared" si="22"/>
        <v>0</v>
      </c>
      <c r="H227">
        <f t="shared" si="23"/>
        <v>1</v>
      </c>
    </row>
    <row r="228" spans="1:8">
      <c r="A228" t="s">
        <v>8</v>
      </c>
      <c r="B228">
        <f t="shared" si="18"/>
        <v>1</v>
      </c>
      <c r="C228">
        <f t="shared" si="19"/>
        <v>0</v>
      </c>
      <c r="D228">
        <f t="shared" si="20"/>
        <v>0</v>
      </c>
      <c r="E228" t="s">
        <v>38</v>
      </c>
      <c r="F228">
        <f t="shared" si="21"/>
        <v>0</v>
      </c>
      <c r="G228">
        <f t="shared" si="22"/>
        <v>0</v>
      </c>
      <c r="H228">
        <f t="shared" si="23"/>
        <v>1</v>
      </c>
    </row>
    <row r="229" spans="1:8">
      <c r="A229" t="s">
        <v>8</v>
      </c>
      <c r="B229">
        <f t="shared" si="18"/>
        <v>1</v>
      </c>
      <c r="C229">
        <f t="shared" si="19"/>
        <v>0</v>
      </c>
      <c r="D229">
        <f t="shared" si="20"/>
        <v>0</v>
      </c>
      <c r="E229" t="s">
        <v>38</v>
      </c>
      <c r="F229">
        <f t="shared" si="21"/>
        <v>0</v>
      </c>
      <c r="G229">
        <f t="shared" si="22"/>
        <v>0</v>
      </c>
      <c r="H229">
        <f t="shared" si="23"/>
        <v>1</v>
      </c>
    </row>
    <row r="230" spans="1:8">
      <c r="A230" t="s">
        <v>8</v>
      </c>
      <c r="B230">
        <f t="shared" si="18"/>
        <v>1</v>
      </c>
      <c r="C230">
        <f t="shared" si="19"/>
        <v>0</v>
      </c>
      <c r="D230">
        <f t="shared" si="20"/>
        <v>0</v>
      </c>
      <c r="E230" t="s">
        <v>30</v>
      </c>
      <c r="F230">
        <f t="shared" si="21"/>
        <v>0</v>
      </c>
      <c r="G230">
        <f t="shared" si="22"/>
        <v>1</v>
      </c>
      <c r="H230">
        <f t="shared" si="23"/>
        <v>0</v>
      </c>
    </row>
    <row r="231" spans="1:8">
      <c r="A231" t="s">
        <v>8</v>
      </c>
      <c r="B231">
        <f t="shared" si="18"/>
        <v>1</v>
      </c>
      <c r="C231">
        <f t="shared" si="19"/>
        <v>0</v>
      </c>
      <c r="D231">
        <f t="shared" si="20"/>
        <v>0</v>
      </c>
      <c r="E231" t="s">
        <v>30</v>
      </c>
      <c r="F231">
        <f t="shared" si="21"/>
        <v>0</v>
      </c>
      <c r="G231">
        <f t="shared" si="22"/>
        <v>1</v>
      </c>
      <c r="H231">
        <f t="shared" si="23"/>
        <v>0</v>
      </c>
    </row>
    <row r="232" spans="1:8">
      <c r="A232" t="s">
        <v>8</v>
      </c>
      <c r="B232">
        <f t="shared" si="18"/>
        <v>1</v>
      </c>
      <c r="C232">
        <f t="shared" si="19"/>
        <v>0</v>
      </c>
      <c r="D232">
        <f t="shared" si="20"/>
        <v>0</v>
      </c>
      <c r="E232" t="s">
        <v>30</v>
      </c>
      <c r="F232">
        <f t="shared" si="21"/>
        <v>0</v>
      </c>
      <c r="G232">
        <f t="shared" si="22"/>
        <v>1</v>
      </c>
      <c r="H232">
        <f t="shared" si="23"/>
        <v>0</v>
      </c>
    </row>
    <row r="233" spans="1:8">
      <c r="A233" t="s">
        <v>8</v>
      </c>
      <c r="B233">
        <f t="shared" si="18"/>
        <v>1</v>
      </c>
      <c r="C233">
        <f t="shared" si="19"/>
        <v>0</v>
      </c>
      <c r="D233">
        <f t="shared" si="20"/>
        <v>0</v>
      </c>
      <c r="E233" t="s">
        <v>30</v>
      </c>
      <c r="F233">
        <f t="shared" si="21"/>
        <v>0</v>
      </c>
      <c r="G233">
        <f t="shared" si="22"/>
        <v>1</v>
      </c>
      <c r="H233">
        <f t="shared" si="23"/>
        <v>0</v>
      </c>
    </row>
    <row r="234" spans="1:8">
      <c r="A234" t="s">
        <v>10</v>
      </c>
      <c r="B234">
        <f t="shared" si="18"/>
        <v>0</v>
      </c>
      <c r="C234">
        <f t="shared" si="19"/>
        <v>0</v>
      </c>
      <c r="D234">
        <f t="shared" si="20"/>
        <v>1</v>
      </c>
      <c r="E234" t="s">
        <v>28</v>
      </c>
      <c r="F234">
        <f t="shared" si="21"/>
        <v>1</v>
      </c>
      <c r="G234">
        <f t="shared" si="22"/>
        <v>0</v>
      </c>
      <c r="H234">
        <f t="shared" si="23"/>
        <v>0</v>
      </c>
    </row>
    <row r="235" spans="1:8">
      <c r="A235" t="s">
        <v>10</v>
      </c>
      <c r="B235">
        <f t="shared" si="18"/>
        <v>0</v>
      </c>
      <c r="C235">
        <f t="shared" si="19"/>
        <v>0</v>
      </c>
      <c r="D235">
        <f t="shared" si="20"/>
        <v>1</v>
      </c>
      <c r="E235" t="s">
        <v>28</v>
      </c>
      <c r="F235">
        <f t="shared" si="21"/>
        <v>1</v>
      </c>
      <c r="G235">
        <f t="shared" si="22"/>
        <v>0</v>
      </c>
      <c r="H235">
        <f t="shared" si="23"/>
        <v>0</v>
      </c>
    </row>
    <row r="236" spans="1:8">
      <c r="A236" t="s">
        <v>10</v>
      </c>
      <c r="B236">
        <f t="shared" si="18"/>
        <v>0</v>
      </c>
      <c r="C236">
        <f t="shared" si="19"/>
        <v>0</v>
      </c>
      <c r="D236">
        <f t="shared" si="20"/>
        <v>1</v>
      </c>
      <c r="E236" t="s">
        <v>28</v>
      </c>
      <c r="F236">
        <f t="shared" si="21"/>
        <v>1</v>
      </c>
      <c r="G236">
        <f t="shared" si="22"/>
        <v>0</v>
      </c>
      <c r="H236">
        <f t="shared" si="23"/>
        <v>0</v>
      </c>
    </row>
    <row r="237" spans="1:8">
      <c r="A237" t="s">
        <v>10</v>
      </c>
      <c r="B237">
        <f t="shared" si="18"/>
        <v>0</v>
      </c>
      <c r="C237">
        <f t="shared" si="19"/>
        <v>0</v>
      </c>
      <c r="D237">
        <f t="shared" si="20"/>
        <v>1</v>
      </c>
      <c r="E237" t="s">
        <v>28</v>
      </c>
      <c r="F237">
        <f t="shared" si="21"/>
        <v>1</v>
      </c>
      <c r="G237">
        <f t="shared" si="22"/>
        <v>0</v>
      </c>
      <c r="H237">
        <f t="shared" si="23"/>
        <v>0</v>
      </c>
    </row>
    <row r="238" spans="1:8">
      <c r="A238" t="s">
        <v>10</v>
      </c>
      <c r="B238">
        <f t="shared" si="18"/>
        <v>0</v>
      </c>
      <c r="C238">
        <f t="shared" si="19"/>
        <v>0</v>
      </c>
      <c r="D238">
        <f t="shared" si="20"/>
        <v>1</v>
      </c>
      <c r="E238" t="s">
        <v>38</v>
      </c>
      <c r="F238">
        <f t="shared" si="21"/>
        <v>0</v>
      </c>
      <c r="G238">
        <f t="shared" si="22"/>
        <v>0</v>
      </c>
      <c r="H238">
        <f t="shared" si="23"/>
        <v>1</v>
      </c>
    </row>
    <row r="239" spans="1:8">
      <c r="A239" t="s">
        <v>10</v>
      </c>
      <c r="B239">
        <f t="shared" si="18"/>
        <v>0</v>
      </c>
      <c r="C239">
        <f t="shared" si="19"/>
        <v>0</v>
      </c>
      <c r="D239">
        <f t="shared" si="20"/>
        <v>1</v>
      </c>
      <c r="E239" t="s">
        <v>38</v>
      </c>
      <c r="F239">
        <f t="shared" si="21"/>
        <v>0</v>
      </c>
      <c r="G239">
        <f t="shared" si="22"/>
        <v>0</v>
      </c>
      <c r="H239">
        <f t="shared" si="23"/>
        <v>1</v>
      </c>
    </row>
    <row r="240" spans="1:8">
      <c r="A240" t="s">
        <v>10</v>
      </c>
      <c r="B240">
        <f t="shared" si="18"/>
        <v>0</v>
      </c>
      <c r="C240">
        <f t="shared" si="19"/>
        <v>0</v>
      </c>
      <c r="D240">
        <f t="shared" si="20"/>
        <v>1</v>
      </c>
      <c r="E240" t="s">
        <v>38</v>
      </c>
      <c r="F240">
        <f t="shared" si="21"/>
        <v>0</v>
      </c>
      <c r="G240">
        <f t="shared" si="22"/>
        <v>0</v>
      </c>
      <c r="H240">
        <f t="shared" si="23"/>
        <v>1</v>
      </c>
    </row>
    <row r="241" spans="1:8">
      <c r="A241" t="s">
        <v>10</v>
      </c>
      <c r="B241">
        <f t="shared" si="18"/>
        <v>0</v>
      </c>
      <c r="C241">
        <f t="shared" si="19"/>
        <v>0</v>
      </c>
      <c r="D241">
        <f t="shared" si="20"/>
        <v>1</v>
      </c>
      <c r="E241" t="s">
        <v>38</v>
      </c>
      <c r="F241">
        <f t="shared" si="21"/>
        <v>0</v>
      </c>
      <c r="G241">
        <f t="shared" si="22"/>
        <v>0</v>
      </c>
      <c r="H241">
        <f t="shared" si="23"/>
        <v>1</v>
      </c>
    </row>
    <row r="242" spans="1:8">
      <c r="A242" t="s">
        <v>9</v>
      </c>
      <c r="B242">
        <f t="shared" si="18"/>
        <v>0</v>
      </c>
      <c r="C242">
        <f t="shared" si="19"/>
        <v>1</v>
      </c>
      <c r="D242">
        <f t="shared" si="20"/>
        <v>0</v>
      </c>
      <c r="E242" t="s">
        <v>33</v>
      </c>
      <c r="F242">
        <f t="shared" si="21"/>
        <v>0</v>
      </c>
      <c r="G242">
        <f t="shared" si="22"/>
        <v>0</v>
      </c>
      <c r="H242">
        <f t="shared" si="23"/>
        <v>0</v>
      </c>
    </row>
    <row r="243" spans="1:8">
      <c r="A243" t="s">
        <v>9</v>
      </c>
      <c r="B243">
        <f t="shared" si="18"/>
        <v>0</v>
      </c>
      <c r="C243">
        <f t="shared" si="19"/>
        <v>1</v>
      </c>
      <c r="D243">
        <f t="shared" si="20"/>
        <v>0</v>
      </c>
      <c r="E243" t="s">
        <v>33</v>
      </c>
      <c r="F243">
        <f t="shared" si="21"/>
        <v>0</v>
      </c>
      <c r="G243">
        <f t="shared" si="22"/>
        <v>0</v>
      </c>
      <c r="H243">
        <f t="shared" si="23"/>
        <v>0</v>
      </c>
    </row>
    <row r="244" spans="1:8">
      <c r="A244" t="s">
        <v>9</v>
      </c>
      <c r="B244">
        <f t="shared" si="18"/>
        <v>0</v>
      </c>
      <c r="C244">
        <f t="shared" si="19"/>
        <v>1</v>
      </c>
      <c r="D244">
        <f t="shared" si="20"/>
        <v>0</v>
      </c>
      <c r="E244" t="s">
        <v>33</v>
      </c>
      <c r="F244">
        <f t="shared" si="21"/>
        <v>0</v>
      </c>
      <c r="G244">
        <f t="shared" si="22"/>
        <v>0</v>
      </c>
      <c r="H244">
        <f t="shared" si="23"/>
        <v>0</v>
      </c>
    </row>
    <row r="245" spans="1:8">
      <c r="A245" t="s">
        <v>9</v>
      </c>
      <c r="B245">
        <f t="shared" si="18"/>
        <v>0</v>
      </c>
      <c r="C245">
        <f t="shared" si="19"/>
        <v>1</v>
      </c>
      <c r="D245">
        <f t="shared" si="20"/>
        <v>0</v>
      </c>
      <c r="E245" t="s">
        <v>33</v>
      </c>
      <c r="F245">
        <f t="shared" si="21"/>
        <v>0</v>
      </c>
      <c r="G245">
        <f t="shared" si="22"/>
        <v>0</v>
      </c>
      <c r="H245">
        <f t="shared" si="23"/>
        <v>0</v>
      </c>
    </row>
    <row r="246" spans="1:8">
      <c r="A246" t="s">
        <v>8</v>
      </c>
      <c r="B246">
        <f t="shared" si="18"/>
        <v>1</v>
      </c>
      <c r="C246">
        <f t="shared" si="19"/>
        <v>0</v>
      </c>
      <c r="D246">
        <f t="shared" si="20"/>
        <v>0</v>
      </c>
      <c r="E246" t="s">
        <v>30</v>
      </c>
      <c r="F246">
        <f t="shared" si="21"/>
        <v>0</v>
      </c>
      <c r="G246">
        <f t="shared" si="22"/>
        <v>1</v>
      </c>
      <c r="H246">
        <f t="shared" si="23"/>
        <v>0</v>
      </c>
    </row>
    <row r="247" spans="1:8">
      <c r="A247" t="s">
        <v>8</v>
      </c>
      <c r="B247">
        <f t="shared" si="18"/>
        <v>1</v>
      </c>
      <c r="C247">
        <f t="shared" si="19"/>
        <v>0</v>
      </c>
      <c r="D247">
        <f t="shared" si="20"/>
        <v>0</v>
      </c>
      <c r="E247" t="s">
        <v>30</v>
      </c>
      <c r="F247">
        <f t="shared" si="21"/>
        <v>0</v>
      </c>
      <c r="G247">
        <f t="shared" si="22"/>
        <v>1</v>
      </c>
      <c r="H247">
        <f t="shared" si="23"/>
        <v>0</v>
      </c>
    </row>
    <row r="248" spans="1:8">
      <c r="A248" t="s">
        <v>8</v>
      </c>
      <c r="B248">
        <f t="shared" si="18"/>
        <v>1</v>
      </c>
      <c r="C248">
        <f t="shared" si="19"/>
        <v>0</v>
      </c>
      <c r="D248">
        <f t="shared" si="20"/>
        <v>0</v>
      </c>
      <c r="E248" t="s">
        <v>30</v>
      </c>
      <c r="F248">
        <f t="shared" si="21"/>
        <v>0</v>
      </c>
      <c r="G248">
        <f t="shared" si="22"/>
        <v>1</v>
      </c>
      <c r="H248">
        <f t="shared" si="23"/>
        <v>0</v>
      </c>
    </row>
    <row r="249" spans="1:8">
      <c r="A249" t="s">
        <v>8</v>
      </c>
      <c r="B249">
        <f t="shared" si="18"/>
        <v>1</v>
      </c>
      <c r="C249">
        <f t="shared" si="19"/>
        <v>0</v>
      </c>
      <c r="D249">
        <f t="shared" si="20"/>
        <v>0</v>
      </c>
      <c r="E249" t="s">
        <v>30</v>
      </c>
      <c r="F249">
        <f t="shared" si="21"/>
        <v>0</v>
      </c>
      <c r="G249">
        <f t="shared" si="22"/>
        <v>1</v>
      </c>
      <c r="H249">
        <f t="shared" si="23"/>
        <v>0</v>
      </c>
    </row>
    <row r="250" spans="1:8">
      <c r="A250" t="s">
        <v>32</v>
      </c>
      <c r="B250">
        <f t="shared" si="18"/>
        <v>0</v>
      </c>
      <c r="C250">
        <f t="shared" si="19"/>
        <v>0</v>
      </c>
      <c r="D250">
        <f t="shared" si="20"/>
        <v>0</v>
      </c>
      <c r="E250" t="s">
        <v>30</v>
      </c>
      <c r="F250">
        <f t="shared" si="21"/>
        <v>0</v>
      </c>
      <c r="G250">
        <f t="shared" si="22"/>
        <v>1</v>
      </c>
      <c r="H250">
        <f t="shared" si="23"/>
        <v>0</v>
      </c>
    </row>
    <row r="251" spans="1:8">
      <c r="A251" t="s">
        <v>32</v>
      </c>
      <c r="B251">
        <f t="shared" si="18"/>
        <v>0</v>
      </c>
      <c r="C251">
        <f t="shared" si="19"/>
        <v>0</v>
      </c>
      <c r="D251">
        <f t="shared" si="20"/>
        <v>0</v>
      </c>
      <c r="E251" t="s">
        <v>30</v>
      </c>
      <c r="F251">
        <f t="shared" si="21"/>
        <v>0</v>
      </c>
      <c r="G251">
        <f t="shared" si="22"/>
        <v>1</v>
      </c>
      <c r="H251">
        <f t="shared" si="23"/>
        <v>0</v>
      </c>
    </row>
    <row r="252" spans="1:8">
      <c r="A252" t="s">
        <v>32</v>
      </c>
      <c r="B252">
        <f t="shared" si="18"/>
        <v>0</v>
      </c>
      <c r="C252">
        <f t="shared" si="19"/>
        <v>0</v>
      </c>
      <c r="D252">
        <f t="shared" si="20"/>
        <v>0</v>
      </c>
      <c r="E252" t="s">
        <v>30</v>
      </c>
      <c r="F252">
        <f t="shared" si="21"/>
        <v>0</v>
      </c>
      <c r="G252">
        <f t="shared" si="22"/>
        <v>1</v>
      </c>
      <c r="H252">
        <f t="shared" si="23"/>
        <v>0</v>
      </c>
    </row>
    <row r="253" spans="1:8">
      <c r="A253" t="s">
        <v>32</v>
      </c>
      <c r="B253">
        <f t="shared" si="18"/>
        <v>0</v>
      </c>
      <c r="C253">
        <f t="shared" si="19"/>
        <v>0</v>
      </c>
      <c r="D253">
        <f t="shared" si="20"/>
        <v>0</v>
      </c>
      <c r="E253" t="s">
        <v>30</v>
      </c>
      <c r="F253">
        <f t="shared" si="21"/>
        <v>0</v>
      </c>
      <c r="G253">
        <f t="shared" si="22"/>
        <v>1</v>
      </c>
      <c r="H253">
        <f t="shared" si="23"/>
        <v>0</v>
      </c>
    </row>
    <row r="254" spans="1:8">
      <c r="A254" t="s">
        <v>9</v>
      </c>
      <c r="B254">
        <f t="shared" si="18"/>
        <v>0</v>
      </c>
      <c r="C254">
        <f t="shared" si="19"/>
        <v>1</v>
      </c>
      <c r="D254">
        <f t="shared" si="20"/>
        <v>0</v>
      </c>
      <c r="E254" t="s">
        <v>33</v>
      </c>
      <c r="F254">
        <f t="shared" si="21"/>
        <v>0</v>
      </c>
      <c r="G254">
        <f t="shared" si="22"/>
        <v>0</v>
      </c>
      <c r="H254">
        <f t="shared" si="23"/>
        <v>0</v>
      </c>
    </row>
    <row r="255" spans="1:8">
      <c r="A255" t="s">
        <v>9</v>
      </c>
      <c r="B255">
        <f t="shared" si="18"/>
        <v>0</v>
      </c>
      <c r="C255">
        <f t="shared" si="19"/>
        <v>1</v>
      </c>
      <c r="D255">
        <f t="shared" si="20"/>
        <v>0</v>
      </c>
      <c r="E255" t="s">
        <v>33</v>
      </c>
      <c r="F255">
        <f t="shared" si="21"/>
        <v>0</v>
      </c>
      <c r="G255">
        <f t="shared" si="22"/>
        <v>0</v>
      </c>
      <c r="H255">
        <f t="shared" si="23"/>
        <v>0</v>
      </c>
    </row>
    <row r="256" spans="1:8">
      <c r="A256" t="s">
        <v>9</v>
      </c>
      <c r="B256">
        <f t="shared" si="18"/>
        <v>0</v>
      </c>
      <c r="C256">
        <f t="shared" si="19"/>
        <v>1</v>
      </c>
      <c r="D256">
        <f t="shared" si="20"/>
        <v>0</v>
      </c>
      <c r="E256" t="s">
        <v>33</v>
      </c>
      <c r="F256">
        <f t="shared" si="21"/>
        <v>0</v>
      </c>
      <c r="G256">
        <f t="shared" si="22"/>
        <v>0</v>
      </c>
      <c r="H256">
        <f t="shared" si="23"/>
        <v>0</v>
      </c>
    </row>
    <row r="257" spans="1:8">
      <c r="A257" t="s">
        <v>9</v>
      </c>
      <c r="B257">
        <f t="shared" si="18"/>
        <v>0</v>
      </c>
      <c r="C257">
        <f t="shared" si="19"/>
        <v>1</v>
      </c>
      <c r="D257">
        <f t="shared" si="20"/>
        <v>0</v>
      </c>
      <c r="E257" t="s">
        <v>33</v>
      </c>
      <c r="F257">
        <f t="shared" si="21"/>
        <v>0</v>
      </c>
      <c r="G257">
        <f t="shared" si="22"/>
        <v>0</v>
      </c>
      <c r="H257">
        <f t="shared" si="23"/>
        <v>0</v>
      </c>
    </row>
    <row r="258" spans="1:8">
      <c r="A258" t="s">
        <v>9</v>
      </c>
      <c r="B258">
        <f t="shared" si="18"/>
        <v>0</v>
      </c>
      <c r="C258">
        <f t="shared" si="19"/>
        <v>1</v>
      </c>
      <c r="D258">
        <f t="shared" si="20"/>
        <v>0</v>
      </c>
      <c r="E258" t="s">
        <v>38</v>
      </c>
      <c r="F258">
        <f t="shared" si="21"/>
        <v>0</v>
      </c>
      <c r="G258">
        <f t="shared" si="22"/>
        <v>0</v>
      </c>
      <c r="H258">
        <f t="shared" si="23"/>
        <v>1</v>
      </c>
    </row>
    <row r="259" spans="1:8">
      <c r="A259" t="s">
        <v>9</v>
      </c>
      <c r="B259">
        <f t="shared" ref="B259:B321" si="24">IF(A259="East",1,0)</f>
        <v>0</v>
      </c>
      <c r="C259">
        <f t="shared" ref="C259:C321" si="25">IF(A259="South",1,0)</f>
        <v>1</v>
      </c>
      <c r="D259">
        <f t="shared" ref="D259:D321" si="26">IF(A259="West",1,0)</f>
        <v>0</v>
      </c>
      <c r="E259" t="s">
        <v>38</v>
      </c>
      <c r="F259">
        <f t="shared" ref="F259:F321" si="27">IF(E259="Residential",1,0)</f>
        <v>0</v>
      </c>
      <c r="G259">
        <f t="shared" ref="G259:G321" si="28">IF(E259="High Street",1,0)</f>
        <v>0</v>
      </c>
      <c r="H259">
        <f t="shared" ref="H259:H321" si="29">IF(E259="Mall",1,0)</f>
        <v>1</v>
      </c>
    </row>
    <row r="260" spans="1:8">
      <c r="A260" t="s">
        <v>9</v>
      </c>
      <c r="B260">
        <f t="shared" si="24"/>
        <v>0</v>
      </c>
      <c r="C260">
        <f t="shared" si="25"/>
        <v>1</v>
      </c>
      <c r="D260">
        <f t="shared" si="26"/>
        <v>0</v>
      </c>
      <c r="E260" t="s">
        <v>38</v>
      </c>
      <c r="F260">
        <f t="shared" si="27"/>
        <v>0</v>
      </c>
      <c r="G260">
        <f t="shared" si="28"/>
        <v>0</v>
      </c>
      <c r="H260">
        <f t="shared" si="29"/>
        <v>1</v>
      </c>
    </row>
    <row r="261" spans="1:8">
      <c r="A261" t="s">
        <v>9</v>
      </c>
      <c r="B261">
        <f t="shared" si="24"/>
        <v>0</v>
      </c>
      <c r="C261">
        <f t="shared" si="25"/>
        <v>1</v>
      </c>
      <c r="D261">
        <f t="shared" si="26"/>
        <v>0</v>
      </c>
      <c r="E261" t="s">
        <v>38</v>
      </c>
      <c r="F261">
        <f t="shared" si="27"/>
        <v>0</v>
      </c>
      <c r="G261">
        <f t="shared" si="28"/>
        <v>0</v>
      </c>
      <c r="H261">
        <f t="shared" si="29"/>
        <v>1</v>
      </c>
    </row>
    <row r="262" spans="1:8">
      <c r="A262" t="s">
        <v>10</v>
      </c>
      <c r="B262">
        <f t="shared" si="24"/>
        <v>0</v>
      </c>
      <c r="C262">
        <f t="shared" si="25"/>
        <v>0</v>
      </c>
      <c r="D262">
        <f t="shared" si="26"/>
        <v>1</v>
      </c>
      <c r="E262" t="s">
        <v>30</v>
      </c>
      <c r="F262">
        <f t="shared" si="27"/>
        <v>0</v>
      </c>
      <c r="G262">
        <f t="shared" si="28"/>
        <v>1</v>
      </c>
      <c r="H262">
        <f t="shared" si="29"/>
        <v>0</v>
      </c>
    </row>
    <row r="263" spans="1:8">
      <c r="A263" t="s">
        <v>10</v>
      </c>
      <c r="B263">
        <f t="shared" si="24"/>
        <v>0</v>
      </c>
      <c r="C263">
        <f t="shared" si="25"/>
        <v>0</v>
      </c>
      <c r="D263">
        <f t="shared" si="26"/>
        <v>1</v>
      </c>
      <c r="E263" t="s">
        <v>30</v>
      </c>
      <c r="F263">
        <f t="shared" si="27"/>
        <v>0</v>
      </c>
      <c r="G263">
        <f t="shared" si="28"/>
        <v>1</v>
      </c>
      <c r="H263">
        <f t="shared" si="29"/>
        <v>0</v>
      </c>
    </row>
    <row r="264" spans="1:8">
      <c r="A264" t="s">
        <v>10</v>
      </c>
      <c r="B264">
        <f t="shared" si="24"/>
        <v>0</v>
      </c>
      <c r="C264">
        <f t="shared" si="25"/>
        <v>0</v>
      </c>
      <c r="D264">
        <f t="shared" si="26"/>
        <v>1</v>
      </c>
      <c r="E264" t="s">
        <v>30</v>
      </c>
      <c r="F264">
        <f t="shared" si="27"/>
        <v>0</v>
      </c>
      <c r="G264">
        <f t="shared" si="28"/>
        <v>1</v>
      </c>
      <c r="H264">
        <f t="shared" si="29"/>
        <v>0</v>
      </c>
    </row>
    <row r="265" spans="1:8">
      <c r="A265" t="s">
        <v>10</v>
      </c>
      <c r="B265">
        <f t="shared" si="24"/>
        <v>0</v>
      </c>
      <c r="C265">
        <f t="shared" si="25"/>
        <v>0</v>
      </c>
      <c r="D265">
        <f t="shared" si="26"/>
        <v>1</v>
      </c>
      <c r="E265" t="s">
        <v>30</v>
      </c>
      <c r="F265">
        <f t="shared" si="27"/>
        <v>0</v>
      </c>
      <c r="G265">
        <f t="shared" si="28"/>
        <v>1</v>
      </c>
      <c r="H265">
        <f t="shared" si="29"/>
        <v>0</v>
      </c>
    </row>
    <row r="266" spans="1:8">
      <c r="A266" t="s">
        <v>8</v>
      </c>
      <c r="B266">
        <f t="shared" si="24"/>
        <v>1</v>
      </c>
      <c r="C266">
        <f t="shared" si="25"/>
        <v>0</v>
      </c>
      <c r="D266">
        <f t="shared" si="26"/>
        <v>0</v>
      </c>
      <c r="E266" t="s">
        <v>30</v>
      </c>
      <c r="F266">
        <f t="shared" si="27"/>
        <v>0</v>
      </c>
      <c r="G266">
        <f t="shared" si="28"/>
        <v>1</v>
      </c>
      <c r="H266">
        <f t="shared" si="29"/>
        <v>0</v>
      </c>
    </row>
    <row r="267" spans="1:8">
      <c r="A267" t="s">
        <v>8</v>
      </c>
      <c r="B267">
        <f t="shared" si="24"/>
        <v>1</v>
      </c>
      <c r="C267">
        <f t="shared" si="25"/>
        <v>0</v>
      </c>
      <c r="D267">
        <f t="shared" si="26"/>
        <v>0</v>
      </c>
      <c r="E267" t="s">
        <v>30</v>
      </c>
      <c r="F267">
        <f t="shared" si="27"/>
        <v>0</v>
      </c>
      <c r="G267">
        <f t="shared" si="28"/>
        <v>1</v>
      </c>
      <c r="H267">
        <f t="shared" si="29"/>
        <v>0</v>
      </c>
    </row>
    <row r="268" spans="1:8">
      <c r="A268" t="s">
        <v>8</v>
      </c>
      <c r="B268">
        <f t="shared" si="24"/>
        <v>1</v>
      </c>
      <c r="C268">
        <f t="shared" si="25"/>
        <v>0</v>
      </c>
      <c r="D268">
        <f t="shared" si="26"/>
        <v>0</v>
      </c>
      <c r="E268" t="s">
        <v>30</v>
      </c>
      <c r="F268">
        <f t="shared" si="27"/>
        <v>0</v>
      </c>
      <c r="G268">
        <f t="shared" si="28"/>
        <v>1</v>
      </c>
      <c r="H268">
        <f t="shared" si="29"/>
        <v>0</v>
      </c>
    </row>
    <row r="269" spans="1:8">
      <c r="A269" t="s">
        <v>8</v>
      </c>
      <c r="B269">
        <f t="shared" si="24"/>
        <v>1</v>
      </c>
      <c r="C269">
        <f t="shared" si="25"/>
        <v>0</v>
      </c>
      <c r="D269">
        <f t="shared" si="26"/>
        <v>0</v>
      </c>
      <c r="E269" t="s">
        <v>30</v>
      </c>
      <c r="F269">
        <f t="shared" si="27"/>
        <v>0</v>
      </c>
      <c r="G269">
        <f t="shared" si="28"/>
        <v>1</v>
      </c>
      <c r="H269">
        <f t="shared" si="29"/>
        <v>0</v>
      </c>
    </row>
    <row r="270" spans="1:8">
      <c r="A270" t="s">
        <v>8</v>
      </c>
      <c r="B270">
        <f t="shared" si="24"/>
        <v>1</v>
      </c>
      <c r="C270">
        <f t="shared" si="25"/>
        <v>0</v>
      </c>
      <c r="D270">
        <f t="shared" si="26"/>
        <v>0</v>
      </c>
      <c r="E270" t="s">
        <v>38</v>
      </c>
      <c r="F270">
        <f t="shared" si="27"/>
        <v>0</v>
      </c>
      <c r="G270">
        <f t="shared" si="28"/>
        <v>0</v>
      </c>
      <c r="H270">
        <f t="shared" si="29"/>
        <v>1</v>
      </c>
    </row>
    <row r="271" spans="1:8">
      <c r="A271" t="s">
        <v>8</v>
      </c>
      <c r="B271">
        <f t="shared" si="24"/>
        <v>1</v>
      </c>
      <c r="C271">
        <f t="shared" si="25"/>
        <v>0</v>
      </c>
      <c r="D271">
        <f t="shared" si="26"/>
        <v>0</v>
      </c>
      <c r="E271" t="s">
        <v>38</v>
      </c>
      <c r="F271">
        <f t="shared" si="27"/>
        <v>0</v>
      </c>
      <c r="G271">
        <f t="shared" si="28"/>
        <v>0</v>
      </c>
      <c r="H271">
        <f t="shared" si="29"/>
        <v>1</v>
      </c>
    </row>
    <row r="272" spans="1:8">
      <c r="A272" t="s">
        <v>8</v>
      </c>
      <c r="B272">
        <f t="shared" si="24"/>
        <v>1</v>
      </c>
      <c r="C272">
        <f t="shared" si="25"/>
        <v>0</v>
      </c>
      <c r="D272">
        <f t="shared" si="26"/>
        <v>0</v>
      </c>
      <c r="E272" t="s">
        <v>38</v>
      </c>
      <c r="F272">
        <f t="shared" si="27"/>
        <v>0</v>
      </c>
      <c r="G272">
        <f t="shared" si="28"/>
        <v>0</v>
      </c>
      <c r="H272">
        <f t="shared" si="29"/>
        <v>1</v>
      </c>
    </row>
    <row r="273" spans="1:8">
      <c r="A273" t="s">
        <v>8</v>
      </c>
      <c r="B273">
        <f t="shared" si="24"/>
        <v>1</v>
      </c>
      <c r="C273">
        <f t="shared" si="25"/>
        <v>0</v>
      </c>
      <c r="D273">
        <f t="shared" si="26"/>
        <v>0</v>
      </c>
      <c r="E273" t="s">
        <v>38</v>
      </c>
      <c r="F273">
        <f t="shared" si="27"/>
        <v>0</v>
      </c>
      <c r="G273">
        <f t="shared" si="28"/>
        <v>0</v>
      </c>
      <c r="H273">
        <f t="shared" si="29"/>
        <v>1</v>
      </c>
    </row>
    <row r="274" spans="1:8">
      <c r="A274" t="s">
        <v>10</v>
      </c>
      <c r="B274">
        <f t="shared" si="24"/>
        <v>0</v>
      </c>
      <c r="C274">
        <f t="shared" si="25"/>
        <v>0</v>
      </c>
      <c r="D274">
        <f t="shared" si="26"/>
        <v>1</v>
      </c>
      <c r="E274" t="s">
        <v>30</v>
      </c>
      <c r="F274">
        <f t="shared" si="27"/>
        <v>0</v>
      </c>
      <c r="G274">
        <f t="shared" si="28"/>
        <v>1</v>
      </c>
      <c r="H274">
        <f t="shared" si="29"/>
        <v>0</v>
      </c>
    </row>
    <row r="275" spans="1:8">
      <c r="A275" t="s">
        <v>10</v>
      </c>
      <c r="B275">
        <f t="shared" si="24"/>
        <v>0</v>
      </c>
      <c r="C275">
        <f t="shared" si="25"/>
        <v>0</v>
      </c>
      <c r="D275">
        <f t="shared" si="26"/>
        <v>1</v>
      </c>
      <c r="E275" t="s">
        <v>30</v>
      </c>
      <c r="F275">
        <f t="shared" si="27"/>
        <v>0</v>
      </c>
      <c r="G275">
        <f t="shared" si="28"/>
        <v>1</v>
      </c>
      <c r="H275">
        <f t="shared" si="29"/>
        <v>0</v>
      </c>
    </row>
    <row r="276" spans="1:8">
      <c r="A276" t="s">
        <v>10</v>
      </c>
      <c r="B276">
        <f t="shared" si="24"/>
        <v>0</v>
      </c>
      <c r="C276">
        <f t="shared" si="25"/>
        <v>0</v>
      </c>
      <c r="D276">
        <f t="shared" si="26"/>
        <v>1</v>
      </c>
      <c r="E276" t="s">
        <v>30</v>
      </c>
      <c r="F276">
        <f t="shared" si="27"/>
        <v>0</v>
      </c>
      <c r="G276">
        <f t="shared" si="28"/>
        <v>1</v>
      </c>
      <c r="H276">
        <f t="shared" si="29"/>
        <v>0</v>
      </c>
    </row>
    <row r="277" spans="1:8">
      <c r="A277" t="s">
        <v>10</v>
      </c>
      <c r="B277">
        <f t="shared" si="24"/>
        <v>0</v>
      </c>
      <c r="C277">
        <f t="shared" si="25"/>
        <v>0</v>
      </c>
      <c r="D277">
        <f t="shared" si="26"/>
        <v>1</v>
      </c>
      <c r="E277" t="s">
        <v>30</v>
      </c>
      <c r="F277">
        <f t="shared" si="27"/>
        <v>0</v>
      </c>
      <c r="G277">
        <f t="shared" si="28"/>
        <v>1</v>
      </c>
      <c r="H277">
        <f t="shared" si="29"/>
        <v>0</v>
      </c>
    </row>
    <row r="278" spans="1:8">
      <c r="A278" t="s">
        <v>9</v>
      </c>
      <c r="B278">
        <f t="shared" si="24"/>
        <v>0</v>
      </c>
      <c r="C278">
        <f t="shared" si="25"/>
        <v>1</v>
      </c>
      <c r="D278">
        <f t="shared" si="26"/>
        <v>0</v>
      </c>
      <c r="E278" t="s">
        <v>28</v>
      </c>
      <c r="F278">
        <f t="shared" si="27"/>
        <v>1</v>
      </c>
      <c r="G278">
        <f t="shared" si="28"/>
        <v>0</v>
      </c>
      <c r="H278">
        <f t="shared" si="29"/>
        <v>0</v>
      </c>
    </row>
    <row r="279" spans="1:8">
      <c r="A279" t="s">
        <v>9</v>
      </c>
      <c r="B279">
        <f t="shared" si="24"/>
        <v>0</v>
      </c>
      <c r="C279">
        <f t="shared" si="25"/>
        <v>1</v>
      </c>
      <c r="D279">
        <f t="shared" si="26"/>
        <v>0</v>
      </c>
      <c r="E279" t="s">
        <v>28</v>
      </c>
      <c r="F279">
        <f t="shared" si="27"/>
        <v>1</v>
      </c>
      <c r="G279">
        <f t="shared" si="28"/>
        <v>0</v>
      </c>
      <c r="H279">
        <f t="shared" si="29"/>
        <v>0</v>
      </c>
    </row>
    <row r="280" spans="1:8">
      <c r="A280" t="s">
        <v>9</v>
      </c>
      <c r="B280">
        <f t="shared" si="24"/>
        <v>0</v>
      </c>
      <c r="C280">
        <f t="shared" si="25"/>
        <v>1</v>
      </c>
      <c r="D280">
        <f t="shared" si="26"/>
        <v>0</v>
      </c>
      <c r="E280" t="s">
        <v>28</v>
      </c>
      <c r="F280">
        <f t="shared" si="27"/>
        <v>1</v>
      </c>
      <c r="G280">
        <f t="shared" si="28"/>
        <v>0</v>
      </c>
      <c r="H280">
        <f t="shared" si="29"/>
        <v>0</v>
      </c>
    </row>
    <row r="281" spans="1:8">
      <c r="A281" t="s">
        <v>9</v>
      </c>
      <c r="B281">
        <f t="shared" si="24"/>
        <v>0</v>
      </c>
      <c r="C281">
        <f t="shared" si="25"/>
        <v>1</v>
      </c>
      <c r="D281">
        <f t="shared" si="26"/>
        <v>0</v>
      </c>
      <c r="E281" t="s">
        <v>28</v>
      </c>
      <c r="F281">
        <f t="shared" si="27"/>
        <v>1</v>
      </c>
      <c r="G281">
        <f t="shared" si="28"/>
        <v>0</v>
      </c>
      <c r="H281">
        <f t="shared" si="29"/>
        <v>0</v>
      </c>
    </row>
    <row r="282" spans="1:8">
      <c r="A282" t="s">
        <v>9</v>
      </c>
      <c r="B282">
        <f t="shared" si="24"/>
        <v>0</v>
      </c>
      <c r="C282">
        <f t="shared" si="25"/>
        <v>1</v>
      </c>
      <c r="D282">
        <f t="shared" si="26"/>
        <v>0</v>
      </c>
      <c r="E282" t="s">
        <v>30</v>
      </c>
      <c r="F282">
        <f t="shared" si="27"/>
        <v>0</v>
      </c>
      <c r="G282">
        <f t="shared" si="28"/>
        <v>1</v>
      </c>
      <c r="H282">
        <f t="shared" si="29"/>
        <v>0</v>
      </c>
    </row>
    <row r="283" spans="1:8">
      <c r="A283" t="s">
        <v>9</v>
      </c>
      <c r="B283">
        <f t="shared" si="24"/>
        <v>0</v>
      </c>
      <c r="C283">
        <f t="shared" si="25"/>
        <v>1</v>
      </c>
      <c r="D283">
        <f t="shared" si="26"/>
        <v>0</v>
      </c>
      <c r="E283" t="s">
        <v>30</v>
      </c>
      <c r="F283">
        <f t="shared" si="27"/>
        <v>0</v>
      </c>
      <c r="G283">
        <f t="shared" si="28"/>
        <v>1</v>
      </c>
      <c r="H283">
        <f t="shared" si="29"/>
        <v>0</v>
      </c>
    </row>
    <row r="284" spans="1:8">
      <c r="A284" t="s">
        <v>9</v>
      </c>
      <c r="B284">
        <f t="shared" si="24"/>
        <v>0</v>
      </c>
      <c r="C284">
        <f t="shared" si="25"/>
        <v>1</v>
      </c>
      <c r="D284">
        <f t="shared" si="26"/>
        <v>0</v>
      </c>
      <c r="E284" t="s">
        <v>30</v>
      </c>
      <c r="F284">
        <f t="shared" si="27"/>
        <v>0</v>
      </c>
      <c r="G284">
        <f t="shared" si="28"/>
        <v>1</v>
      </c>
      <c r="H284">
        <f t="shared" si="29"/>
        <v>0</v>
      </c>
    </row>
    <row r="285" spans="1:8">
      <c r="A285" t="s">
        <v>9</v>
      </c>
      <c r="B285">
        <f t="shared" si="24"/>
        <v>0</v>
      </c>
      <c r="C285">
        <f t="shared" si="25"/>
        <v>1</v>
      </c>
      <c r="D285">
        <f t="shared" si="26"/>
        <v>0</v>
      </c>
      <c r="E285" t="s">
        <v>30</v>
      </c>
      <c r="F285">
        <f t="shared" si="27"/>
        <v>0</v>
      </c>
      <c r="G285">
        <f t="shared" si="28"/>
        <v>1</v>
      </c>
      <c r="H285">
        <f t="shared" si="29"/>
        <v>0</v>
      </c>
    </row>
    <row r="286" spans="1:8">
      <c r="A286" t="s">
        <v>10</v>
      </c>
      <c r="B286">
        <f t="shared" si="24"/>
        <v>0</v>
      </c>
      <c r="C286">
        <f t="shared" si="25"/>
        <v>0</v>
      </c>
      <c r="D286">
        <f t="shared" si="26"/>
        <v>1</v>
      </c>
      <c r="E286" t="s">
        <v>28</v>
      </c>
      <c r="F286">
        <f t="shared" si="27"/>
        <v>1</v>
      </c>
      <c r="G286">
        <f t="shared" si="28"/>
        <v>0</v>
      </c>
      <c r="H286">
        <f t="shared" si="29"/>
        <v>0</v>
      </c>
    </row>
    <row r="287" spans="1:8">
      <c r="A287" t="s">
        <v>10</v>
      </c>
      <c r="B287">
        <f t="shared" si="24"/>
        <v>0</v>
      </c>
      <c r="C287">
        <f t="shared" si="25"/>
        <v>0</v>
      </c>
      <c r="D287">
        <f t="shared" si="26"/>
        <v>1</v>
      </c>
      <c r="E287" t="s">
        <v>28</v>
      </c>
      <c r="F287">
        <f t="shared" si="27"/>
        <v>1</v>
      </c>
      <c r="G287">
        <f t="shared" si="28"/>
        <v>0</v>
      </c>
      <c r="H287">
        <f t="shared" si="29"/>
        <v>0</v>
      </c>
    </row>
    <row r="288" spans="1:8">
      <c r="A288" t="s">
        <v>10</v>
      </c>
      <c r="B288">
        <f t="shared" si="24"/>
        <v>0</v>
      </c>
      <c r="C288">
        <f t="shared" si="25"/>
        <v>0</v>
      </c>
      <c r="D288">
        <f t="shared" si="26"/>
        <v>1</v>
      </c>
      <c r="E288" t="s">
        <v>28</v>
      </c>
      <c r="F288">
        <f t="shared" si="27"/>
        <v>1</v>
      </c>
      <c r="G288">
        <f t="shared" si="28"/>
        <v>0</v>
      </c>
      <c r="H288">
        <f t="shared" si="29"/>
        <v>0</v>
      </c>
    </row>
    <row r="289" spans="1:8">
      <c r="A289" t="s">
        <v>10</v>
      </c>
      <c r="B289">
        <f t="shared" si="24"/>
        <v>0</v>
      </c>
      <c r="C289">
        <f t="shared" si="25"/>
        <v>0</v>
      </c>
      <c r="D289">
        <f t="shared" si="26"/>
        <v>1</v>
      </c>
      <c r="E289" t="s">
        <v>28</v>
      </c>
      <c r="F289">
        <f t="shared" si="27"/>
        <v>1</v>
      </c>
      <c r="G289">
        <f t="shared" si="28"/>
        <v>0</v>
      </c>
      <c r="H289">
        <f t="shared" si="29"/>
        <v>0</v>
      </c>
    </row>
    <row r="290" spans="1:8">
      <c r="A290" t="s">
        <v>8</v>
      </c>
      <c r="B290">
        <f t="shared" si="24"/>
        <v>1</v>
      </c>
      <c r="C290">
        <f t="shared" si="25"/>
        <v>0</v>
      </c>
      <c r="D290">
        <f t="shared" si="26"/>
        <v>0</v>
      </c>
      <c r="E290" t="s">
        <v>28</v>
      </c>
      <c r="F290">
        <f t="shared" si="27"/>
        <v>1</v>
      </c>
      <c r="G290">
        <f t="shared" si="28"/>
        <v>0</v>
      </c>
      <c r="H290">
        <f t="shared" si="29"/>
        <v>0</v>
      </c>
    </row>
    <row r="291" spans="1:8">
      <c r="A291" t="s">
        <v>8</v>
      </c>
      <c r="B291">
        <f t="shared" si="24"/>
        <v>1</v>
      </c>
      <c r="C291">
        <f t="shared" si="25"/>
        <v>0</v>
      </c>
      <c r="D291">
        <f t="shared" si="26"/>
        <v>0</v>
      </c>
      <c r="E291" t="s">
        <v>28</v>
      </c>
      <c r="F291">
        <f t="shared" si="27"/>
        <v>1</v>
      </c>
      <c r="G291">
        <f t="shared" si="28"/>
        <v>0</v>
      </c>
      <c r="H291">
        <f t="shared" si="29"/>
        <v>0</v>
      </c>
    </row>
    <row r="292" spans="1:8">
      <c r="A292" t="s">
        <v>8</v>
      </c>
      <c r="B292">
        <f t="shared" si="24"/>
        <v>1</v>
      </c>
      <c r="C292">
        <f t="shared" si="25"/>
        <v>0</v>
      </c>
      <c r="D292">
        <f t="shared" si="26"/>
        <v>0</v>
      </c>
      <c r="E292" t="s">
        <v>28</v>
      </c>
      <c r="F292">
        <f t="shared" si="27"/>
        <v>1</v>
      </c>
      <c r="G292">
        <f t="shared" si="28"/>
        <v>0</v>
      </c>
      <c r="H292">
        <f t="shared" si="29"/>
        <v>0</v>
      </c>
    </row>
    <row r="293" spans="1:8">
      <c r="A293" t="s">
        <v>8</v>
      </c>
      <c r="B293">
        <f t="shared" si="24"/>
        <v>1</v>
      </c>
      <c r="C293">
        <f t="shared" si="25"/>
        <v>0</v>
      </c>
      <c r="D293">
        <f t="shared" si="26"/>
        <v>0</v>
      </c>
      <c r="E293" t="s">
        <v>28</v>
      </c>
      <c r="F293">
        <f t="shared" si="27"/>
        <v>1</v>
      </c>
      <c r="G293">
        <f t="shared" si="28"/>
        <v>0</v>
      </c>
      <c r="H293">
        <f t="shared" si="29"/>
        <v>0</v>
      </c>
    </row>
    <row r="294" spans="1:8">
      <c r="A294" t="s">
        <v>10</v>
      </c>
      <c r="B294">
        <f t="shared" si="24"/>
        <v>0</v>
      </c>
      <c r="C294">
        <f t="shared" si="25"/>
        <v>0</v>
      </c>
      <c r="D294">
        <f t="shared" si="26"/>
        <v>1</v>
      </c>
      <c r="E294" t="s">
        <v>30</v>
      </c>
      <c r="F294">
        <f t="shared" si="27"/>
        <v>0</v>
      </c>
      <c r="G294">
        <f t="shared" si="28"/>
        <v>1</v>
      </c>
      <c r="H294">
        <f t="shared" si="29"/>
        <v>0</v>
      </c>
    </row>
    <row r="295" spans="1:8">
      <c r="A295" t="s">
        <v>10</v>
      </c>
      <c r="B295">
        <f t="shared" si="24"/>
        <v>0</v>
      </c>
      <c r="C295">
        <f t="shared" si="25"/>
        <v>0</v>
      </c>
      <c r="D295">
        <f t="shared" si="26"/>
        <v>1</v>
      </c>
      <c r="E295" t="s">
        <v>30</v>
      </c>
      <c r="F295">
        <f t="shared" si="27"/>
        <v>0</v>
      </c>
      <c r="G295">
        <f t="shared" si="28"/>
        <v>1</v>
      </c>
      <c r="H295">
        <f t="shared" si="29"/>
        <v>0</v>
      </c>
    </row>
    <row r="296" spans="1:8">
      <c r="A296" t="s">
        <v>10</v>
      </c>
      <c r="B296">
        <f t="shared" si="24"/>
        <v>0</v>
      </c>
      <c r="C296">
        <f t="shared" si="25"/>
        <v>0</v>
      </c>
      <c r="D296">
        <f t="shared" si="26"/>
        <v>1</v>
      </c>
      <c r="E296" t="s">
        <v>30</v>
      </c>
      <c r="F296">
        <f t="shared" si="27"/>
        <v>0</v>
      </c>
      <c r="G296">
        <f t="shared" si="28"/>
        <v>1</v>
      </c>
      <c r="H296">
        <f t="shared" si="29"/>
        <v>0</v>
      </c>
    </row>
    <row r="297" spans="1:8">
      <c r="A297" t="s">
        <v>10</v>
      </c>
      <c r="B297">
        <f t="shared" si="24"/>
        <v>0</v>
      </c>
      <c r="C297">
        <f t="shared" si="25"/>
        <v>0</v>
      </c>
      <c r="D297">
        <f t="shared" si="26"/>
        <v>1</v>
      </c>
      <c r="E297" t="s">
        <v>30</v>
      </c>
      <c r="F297">
        <f t="shared" si="27"/>
        <v>0</v>
      </c>
      <c r="G297">
        <f t="shared" si="28"/>
        <v>1</v>
      </c>
      <c r="H297">
        <f t="shared" si="29"/>
        <v>0</v>
      </c>
    </row>
    <row r="298" spans="1:8">
      <c r="A298" t="s">
        <v>10</v>
      </c>
      <c r="B298">
        <f t="shared" si="24"/>
        <v>0</v>
      </c>
      <c r="C298">
        <f t="shared" si="25"/>
        <v>0</v>
      </c>
      <c r="D298">
        <f t="shared" si="26"/>
        <v>1</v>
      </c>
      <c r="E298" t="s">
        <v>30</v>
      </c>
      <c r="F298">
        <f t="shared" si="27"/>
        <v>0</v>
      </c>
      <c r="G298">
        <f t="shared" si="28"/>
        <v>1</v>
      </c>
      <c r="H298">
        <f t="shared" si="29"/>
        <v>0</v>
      </c>
    </row>
    <row r="299" spans="1:8">
      <c r="A299" t="s">
        <v>10</v>
      </c>
      <c r="B299">
        <f t="shared" si="24"/>
        <v>0</v>
      </c>
      <c r="C299">
        <f t="shared" si="25"/>
        <v>0</v>
      </c>
      <c r="D299">
        <f t="shared" si="26"/>
        <v>1</v>
      </c>
      <c r="E299" t="s">
        <v>30</v>
      </c>
      <c r="F299">
        <f t="shared" si="27"/>
        <v>0</v>
      </c>
      <c r="G299">
        <f t="shared" si="28"/>
        <v>1</v>
      </c>
      <c r="H299">
        <f t="shared" si="29"/>
        <v>0</v>
      </c>
    </row>
    <row r="300" spans="1:8">
      <c r="A300" t="s">
        <v>10</v>
      </c>
      <c r="B300">
        <f t="shared" si="24"/>
        <v>0</v>
      </c>
      <c r="C300">
        <f t="shared" si="25"/>
        <v>0</v>
      </c>
      <c r="D300">
        <f t="shared" si="26"/>
        <v>1</v>
      </c>
      <c r="E300" t="s">
        <v>30</v>
      </c>
      <c r="F300">
        <f t="shared" si="27"/>
        <v>0</v>
      </c>
      <c r="G300">
        <f t="shared" si="28"/>
        <v>1</v>
      </c>
      <c r="H300">
        <f t="shared" si="29"/>
        <v>0</v>
      </c>
    </row>
    <row r="301" spans="1:8">
      <c r="A301" t="s">
        <v>10</v>
      </c>
      <c r="B301">
        <f t="shared" si="24"/>
        <v>0</v>
      </c>
      <c r="C301">
        <f t="shared" si="25"/>
        <v>0</v>
      </c>
      <c r="D301">
        <f t="shared" si="26"/>
        <v>1</v>
      </c>
      <c r="E301" t="s">
        <v>30</v>
      </c>
      <c r="F301">
        <f t="shared" si="27"/>
        <v>0</v>
      </c>
      <c r="G301">
        <f t="shared" si="28"/>
        <v>1</v>
      </c>
      <c r="H301">
        <f t="shared" si="29"/>
        <v>0</v>
      </c>
    </row>
    <row r="302" spans="1:8">
      <c r="A302" t="s">
        <v>32</v>
      </c>
      <c r="B302">
        <f t="shared" si="24"/>
        <v>0</v>
      </c>
      <c r="C302">
        <f t="shared" si="25"/>
        <v>0</v>
      </c>
      <c r="D302">
        <f t="shared" si="26"/>
        <v>0</v>
      </c>
      <c r="E302" t="s">
        <v>38</v>
      </c>
      <c r="F302">
        <f t="shared" si="27"/>
        <v>0</v>
      </c>
      <c r="G302">
        <f t="shared" si="28"/>
        <v>0</v>
      </c>
      <c r="H302">
        <f t="shared" si="29"/>
        <v>1</v>
      </c>
    </row>
    <row r="303" spans="1:8">
      <c r="A303" t="s">
        <v>32</v>
      </c>
      <c r="B303">
        <f t="shared" si="24"/>
        <v>0</v>
      </c>
      <c r="C303">
        <f t="shared" si="25"/>
        <v>0</v>
      </c>
      <c r="D303">
        <f t="shared" si="26"/>
        <v>0</v>
      </c>
      <c r="E303" t="s">
        <v>38</v>
      </c>
      <c r="F303">
        <f t="shared" si="27"/>
        <v>0</v>
      </c>
      <c r="G303">
        <f t="shared" si="28"/>
        <v>0</v>
      </c>
      <c r="H303">
        <f t="shared" si="29"/>
        <v>1</v>
      </c>
    </row>
    <row r="304" spans="1:8">
      <c r="A304" t="s">
        <v>32</v>
      </c>
      <c r="B304">
        <f t="shared" si="24"/>
        <v>0</v>
      </c>
      <c r="C304">
        <f t="shared" si="25"/>
        <v>0</v>
      </c>
      <c r="D304">
        <f t="shared" si="26"/>
        <v>0</v>
      </c>
      <c r="E304" t="s">
        <v>38</v>
      </c>
      <c r="F304">
        <f t="shared" si="27"/>
        <v>0</v>
      </c>
      <c r="G304">
        <f t="shared" si="28"/>
        <v>0</v>
      </c>
      <c r="H304">
        <f t="shared" si="29"/>
        <v>1</v>
      </c>
    </row>
    <row r="305" spans="1:8">
      <c r="A305" t="s">
        <v>32</v>
      </c>
      <c r="B305">
        <f t="shared" si="24"/>
        <v>0</v>
      </c>
      <c r="C305">
        <f t="shared" si="25"/>
        <v>0</v>
      </c>
      <c r="D305">
        <f t="shared" si="26"/>
        <v>0</v>
      </c>
      <c r="E305" t="s">
        <v>38</v>
      </c>
      <c r="F305">
        <f t="shared" si="27"/>
        <v>0</v>
      </c>
      <c r="G305">
        <f t="shared" si="28"/>
        <v>0</v>
      </c>
      <c r="H305">
        <f t="shared" si="29"/>
        <v>1</v>
      </c>
    </row>
    <row r="306" spans="1:8">
      <c r="A306" t="s">
        <v>9</v>
      </c>
      <c r="B306">
        <f t="shared" si="24"/>
        <v>0</v>
      </c>
      <c r="C306">
        <f t="shared" si="25"/>
        <v>1</v>
      </c>
      <c r="D306">
        <f t="shared" si="26"/>
        <v>0</v>
      </c>
      <c r="E306" t="s">
        <v>28</v>
      </c>
      <c r="F306">
        <f t="shared" si="27"/>
        <v>1</v>
      </c>
      <c r="G306">
        <f t="shared" si="28"/>
        <v>0</v>
      </c>
      <c r="H306">
        <f t="shared" si="29"/>
        <v>0</v>
      </c>
    </row>
    <row r="307" spans="1:8">
      <c r="A307" t="s">
        <v>9</v>
      </c>
      <c r="B307">
        <f t="shared" si="24"/>
        <v>0</v>
      </c>
      <c r="C307">
        <f t="shared" si="25"/>
        <v>1</v>
      </c>
      <c r="D307">
        <f t="shared" si="26"/>
        <v>0</v>
      </c>
      <c r="E307" t="s">
        <v>28</v>
      </c>
      <c r="F307">
        <f t="shared" si="27"/>
        <v>1</v>
      </c>
      <c r="G307">
        <f t="shared" si="28"/>
        <v>0</v>
      </c>
      <c r="H307">
        <f t="shared" si="29"/>
        <v>0</v>
      </c>
    </row>
    <row r="308" spans="1:8">
      <c r="A308" t="s">
        <v>9</v>
      </c>
      <c r="B308">
        <f t="shared" si="24"/>
        <v>0</v>
      </c>
      <c r="C308">
        <f t="shared" si="25"/>
        <v>1</v>
      </c>
      <c r="D308">
        <f t="shared" si="26"/>
        <v>0</v>
      </c>
      <c r="E308" t="s">
        <v>28</v>
      </c>
      <c r="F308">
        <f t="shared" si="27"/>
        <v>1</v>
      </c>
      <c r="G308">
        <f t="shared" si="28"/>
        <v>0</v>
      </c>
      <c r="H308">
        <f t="shared" si="29"/>
        <v>0</v>
      </c>
    </row>
    <row r="309" spans="1:8">
      <c r="A309" t="s">
        <v>9</v>
      </c>
      <c r="B309">
        <f t="shared" si="24"/>
        <v>0</v>
      </c>
      <c r="C309">
        <f t="shared" si="25"/>
        <v>1</v>
      </c>
      <c r="D309">
        <f t="shared" si="26"/>
        <v>0</v>
      </c>
      <c r="E309" t="s">
        <v>28</v>
      </c>
      <c r="F309">
        <f t="shared" si="27"/>
        <v>1</v>
      </c>
      <c r="G309">
        <f t="shared" si="28"/>
        <v>0</v>
      </c>
      <c r="H309">
        <f t="shared" si="29"/>
        <v>0</v>
      </c>
    </row>
    <row r="310" spans="1:8">
      <c r="A310" t="s">
        <v>9</v>
      </c>
      <c r="B310">
        <f t="shared" si="24"/>
        <v>0</v>
      </c>
      <c r="C310">
        <f t="shared" si="25"/>
        <v>1</v>
      </c>
      <c r="D310">
        <f t="shared" si="26"/>
        <v>0</v>
      </c>
      <c r="E310" t="s">
        <v>30</v>
      </c>
      <c r="F310">
        <f t="shared" si="27"/>
        <v>0</v>
      </c>
      <c r="G310">
        <f t="shared" si="28"/>
        <v>1</v>
      </c>
      <c r="H310">
        <f t="shared" si="29"/>
        <v>0</v>
      </c>
    </row>
    <row r="311" spans="1:8">
      <c r="A311" t="s">
        <v>9</v>
      </c>
      <c r="B311">
        <f t="shared" si="24"/>
        <v>0</v>
      </c>
      <c r="C311">
        <f t="shared" si="25"/>
        <v>1</v>
      </c>
      <c r="D311">
        <f t="shared" si="26"/>
        <v>0</v>
      </c>
      <c r="E311" t="s">
        <v>30</v>
      </c>
      <c r="F311">
        <f t="shared" si="27"/>
        <v>0</v>
      </c>
      <c r="G311">
        <f t="shared" si="28"/>
        <v>1</v>
      </c>
      <c r="H311">
        <f t="shared" si="29"/>
        <v>0</v>
      </c>
    </row>
    <row r="312" spans="1:8">
      <c r="A312" t="s">
        <v>9</v>
      </c>
      <c r="B312">
        <f t="shared" si="24"/>
        <v>0</v>
      </c>
      <c r="C312">
        <f t="shared" si="25"/>
        <v>1</v>
      </c>
      <c r="D312">
        <f t="shared" si="26"/>
        <v>0</v>
      </c>
      <c r="E312" t="s">
        <v>30</v>
      </c>
      <c r="F312">
        <f t="shared" si="27"/>
        <v>0</v>
      </c>
      <c r="G312">
        <f t="shared" si="28"/>
        <v>1</v>
      </c>
      <c r="H312">
        <f t="shared" si="29"/>
        <v>0</v>
      </c>
    </row>
    <row r="313" spans="1:8">
      <c r="A313" t="s">
        <v>9</v>
      </c>
      <c r="B313">
        <f t="shared" si="24"/>
        <v>0</v>
      </c>
      <c r="C313">
        <f t="shared" si="25"/>
        <v>1</v>
      </c>
      <c r="D313">
        <f t="shared" si="26"/>
        <v>0</v>
      </c>
      <c r="E313" t="s">
        <v>30</v>
      </c>
      <c r="F313">
        <f t="shared" si="27"/>
        <v>0</v>
      </c>
      <c r="G313">
        <f t="shared" si="28"/>
        <v>1</v>
      </c>
      <c r="H313">
        <f t="shared" si="29"/>
        <v>0</v>
      </c>
    </row>
    <row r="314" spans="1:8">
      <c r="A314" t="s">
        <v>32</v>
      </c>
      <c r="B314">
        <f t="shared" si="24"/>
        <v>0</v>
      </c>
      <c r="C314">
        <f t="shared" si="25"/>
        <v>0</v>
      </c>
      <c r="D314">
        <f t="shared" si="26"/>
        <v>0</v>
      </c>
      <c r="E314" t="s">
        <v>28</v>
      </c>
      <c r="F314">
        <f t="shared" si="27"/>
        <v>1</v>
      </c>
      <c r="G314">
        <f t="shared" si="28"/>
        <v>0</v>
      </c>
      <c r="H314">
        <f t="shared" si="29"/>
        <v>0</v>
      </c>
    </row>
    <row r="315" spans="1:8">
      <c r="A315" t="s">
        <v>32</v>
      </c>
      <c r="B315">
        <f t="shared" si="24"/>
        <v>0</v>
      </c>
      <c r="C315">
        <f t="shared" si="25"/>
        <v>0</v>
      </c>
      <c r="D315">
        <f t="shared" si="26"/>
        <v>0</v>
      </c>
      <c r="E315" t="s">
        <v>28</v>
      </c>
      <c r="F315">
        <f t="shared" si="27"/>
        <v>1</v>
      </c>
      <c r="G315">
        <f t="shared" si="28"/>
        <v>0</v>
      </c>
      <c r="H315">
        <f t="shared" si="29"/>
        <v>0</v>
      </c>
    </row>
    <row r="316" spans="1:8">
      <c r="A316" t="s">
        <v>32</v>
      </c>
      <c r="B316">
        <f t="shared" si="24"/>
        <v>0</v>
      </c>
      <c r="C316">
        <f t="shared" si="25"/>
        <v>0</v>
      </c>
      <c r="D316">
        <f t="shared" si="26"/>
        <v>0</v>
      </c>
      <c r="E316" t="s">
        <v>28</v>
      </c>
      <c r="F316">
        <f t="shared" si="27"/>
        <v>1</v>
      </c>
      <c r="G316">
        <f t="shared" si="28"/>
        <v>0</v>
      </c>
      <c r="H316">
        <f t="shared" si="29"/>
        <v>0</v>
      </c>
    </row>
    <row r="317" spans="1:8">
      <c r="A317" t="s">
        <v>32</v>
      </c>
      <c r="B317">
        <f t="shared" si="24"/>
        <v>0</v>
      </c>
      <c r="C317">
        <f t="shared" si="25"/>
        <v>0</v>
      </c>
      <c r="D317">
        <f t="shared" si="26"/>
        <v>0</v>
      </c>
      <c r="E317" t="s">
        <v>28</v>
      </c>
      <c r="F317">
        <f t="shared" si="27"/>
        <v>1</v>
      </c>
      <c r="G317">
        <f t="shared" si="28"/>
        <v>0</v>
      </c>
      <c r="H317">
        <f t="shared" si="29"/>
        <v>0</v>
      </c>
    </row>
    <row r="318" spans="1:8">
      <c r="A318" t="s">
        <v>8</v>
      </c>
      <c r="B318">
        <f t="shared" si="24"/>
        <v>1</v>
      </c>
      <c r="C318">
        <f t="shared" si="25"/>
        <v>0</v>
      </c>
      <c r="D318">
        <f t="shared" si="26"/>
        <v>0</v>
      </c>
      <c r="E318" t="s">
        <v>28</v>
      </c>
      <c r="F318">
        <f t="shared" si="27"/>
        <v>1</v>
      </c>
      <c r="G318">
        <f t="shared" si="28"/>
        <v>0</v>
      </c>
      <c r="H318">
        <f t="shared" si="29"/>
        <v>0</v>
      </c>
    </row>
    <row r="319" spans="1:8">
      <c r="A319" t="s">
        <v>8</v>
      </c>
      <c r="B319">
        <f t="shared" si="24"/>
        <v>1</v>
      </c>
      <c r="C319">
        <f t="shared" si="25"/>
        <v>0</v>
      </c>
      <c r="D319">
        <f t="shared" si="26"/>
        <v>0</v>
      </c>
      <c r="E319" t="s">
        <v>28</v>
      </c>
      <c r="F319">
        <f t="shared" si="27"/>
        <v>1</v>
      </c>
      <c r="G319">
        <f t="shared" si="28"/>
        <v>0</v>
      </c>
      <c r="H319">
        <f t="shared" si="29"/>
        <v>0</v>
      </c>
    </row>
    <row r="320" spans="1:8">
      <c r="A320" t="s">
        <v>8</v>
      </c>
      <c r="B320">
        <f t="shared" si="24"/>
        <v>1</v>
      </c>
      <c r="C320">
        <f t="shared" si="25"/>
        <v>0</v>
      </c>
      <c r="D320">
        <f t="shared" si="26"/>
        <v>0</v>
      </c>
      <c r="E320" t="s">
        <v>28</v>
      </c>
      <c r="F320">
        <f t="shared" si="27"/>
        <v>1</v>
      </c>
      <c r="G320">
        <f t="shared" si="28"/>
        <v>0</v>
      </c>
      <c r="H320">
        <f t="shared" si="29"/>
        <v>0</v>
      </c>
    </row>
    <row r="321" spans="1:8">
      <c r="A321" t="s">
        <v>8</v>
      </c>
      <c r="B321">
        <f t="shared" si="24"/>
        <v>1</v>
      </c>
      <c r="C321">
        <f t="shared" si="25"/>
        <v>0</v>
      </c>
      <c r="D321">
        <f t="shared" si="26"/>
        <v>0</v>
      </c>
      <c r="E321" t="s">
        <v>28</v>
      </c>
      <c r="F321">
        <f t="shared" si="27"/>
        <v>1</v>
      </c>
      <c r="G321">
        <f t="shared" si="28"/>
        <v>0</v>
      </c>
      <c r="H321">
        <f t="shared" si="29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selection activeCell="A10" sqref="A10:C12"/>
    </sheetView>
  </sheetViews>
  <sheetFormatPr defaultRowHeight="14.4"/>
  <cols>
    <col min="1" max="1" width="18.5546875" bestFit="1" customWidth="1"/>
    <col min="2" max="2" width="15" bestFit="1" customWidth="1"/>
    <col min="3" max="3" width="9.21875" bestFit="1" customWidth="1"/>
  </cols>
  <sheetData>
    <row r="1" spans="1:3">
      <c r="A1" s="5" t="s">
        <v>139</v>
      </c>
      <c r="B1" s="12" t="s">
        <v>140</v>
      </c>
    </row>
    <row r="2" spans="1:3">
      <c r="A2" s="6" t="s">
        <v>141</v>
      </c>
      <c r="B2" s="11" t="s">
        <v>25</v>
      </c>
    </row>
    <row r="3" spans="1:3">
      <c r="A3" s="6" t="s">
        <v>142</v>
      </c>
      <c r="B3" s="11" t="s">
        <v>17</v>
      </c>
    </row>
    <row r="4" spans="1:3">
      <c r="A4" s="6" t="s">
        <v>115</v>
      </c>
      <c r="B4" s="12">
        <v>0.40895599999999999</v>
      </c>
    </row>
    <row r="5" spans="1:3">
      <c r="A5" s="6" t="s">
        <v>116</v>
      </c>
      <c r="B5" s="12">
        <v>0.167245</v>
      </c>
    </row>
    <row r="6" spans="1:3">
      <c r="A6" s="6" t="s">
        <v>117</v>
      </c>
      <c r="B6" s="12">
        <v>0.16462599999999999</v>
      </c>
    </row>
    <row r="7" spans="1:3">
      <c r="A7" s="6" t="s">
        <v>118</v>
      </c>
      <c r="B7" s="12">
        <v>94846.03</v>
      </c>
    </row>
    <row r="8" spans="1:3">
      <c r="A8" s="6" t="s">
        <v>119</v>
      </c>
      <c r="B8" s="12">
        <v>320</v>
      </c>
    </row>
    <row r="10" spans="1:3">
      <c r="A10" s="5" t="s">
        <v>143</v>
      </c>
      <c r="B10" s="12" t="s">
        <v>144</v>
      </c>
      <c r="C10" s="12" t="s">
        <v>130</v>
      </c>
    </row>
    <row r="11" spans="1:3">
      <c r="A11" s="6" t="s">
        <v>11</v>
      </c>
      <c r="B11" s="12">
        <v>560777.34539999999</v>
      </c>
      <c r="C11" s="13">
        <v>6.95E-112</v>
      </c>
    </row>
    <row r="12" spans="1:3">
      <c r="A12" s="6" t="s">
        <v>17</v>
      </c>
      <c r="B12" s="12">
        <v>2.129575328</v>
      </c>
      <c r="C12" s="13">
        <v>2.4799999999999999E-14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5"/>
  <sheetViews>
    <sheetView workbookViewId="0">
      <selection activeCell="A13" sqref="A13:C15"/>
    </sheetView>
  </sheetViews>
  <sheetFormatPr defaultRowHeight="14.4"/>
  <cols>
    <col min="1" max="1" width="17.21875" bestFit="1" customWidth="1"/>
    <col min="2" max="2" width="12.6640625" bestFit="1" customWidth="1"/>
    <col min="3" max="3" width="9.21875" bestFit="1" customWidth="1"/>
  </cols>
  <sheetData>
    <row r="2" spans="1:3" ht="18">
      <c r="A2" s="16" t="s">
        <v>114</v>
      </c>
      <c r="B2" s="15"/>
    </row>
    <row r="3" spans="1:3">
      <c r="A3" s="5" t="s">
        <v>139</v>
      </c>
      <c r="B3" s="12" t="s">
        <v>140</v>
      </c>
    </row>
    <row r="4" spans="1:3">
      <c r="A4" s="6" t="s">
        <v>141</v>
      </c>
      <c r="B4" s="11" t="s">
        <v>25</v>
      </c>
    </row>
    <row r="5" spans="1:3" ht="28.8">
      <c r="A5" s="6" t="s">
        <v>142</v>
      </c>
      <c r="B5" s="11" t="s">
        <v>18</v>
      </c>
    </row>
    <row r="6" spans="1:3">
      <c r="A6" s="6" t="s">
        <v>115</v>
      </c>
      <c r="B6" s="12">
        <v>0.85807100000000003</v>
      </c>
    </row>
    <row r="7" spans="1:3">
      <c r="A7" s="6" t="s">
        <v>116</v>
      </c>
      <c r="B7" s="12">
        <v>0.73628499999999997</v>
      </c>
    </row>
    <row r="8" spans="1:3">
      <c r="A8" s="6" t="s">
        <v>117</v>
      </c>
      <c r="B8" s="12">
        <v>0.735456</v>
      </c>
    </row>
    <row r="9" spans="1:3">
      <c r="A9" s="6" t="s">
        <v>118</v>
      </c>
      <c r="B9" s="14">
        <v>53373.74</v>
      </c>
    </row>
    <row r="10" spans="1:3">
      <c r="A10" s="6" t="s">
        <v>119</v>
      </c>
      <c r="B10" s="12">
        <v>320</v>
      </c>
    </row>
    <row r="12" spans="1:3" ht="18">
      <c r="A12" s="16" t="s">
        <v>128</v>
      </c>
      <c r="B12" s="16"/>
    </row>
    <row r="13" spans="1:3">
      <c r="A13" s="5" t="s">
        <v>143</v>
      </c>
      <c r="B13" s="12" t="s">
        <v>144</v>
      </c>
      <c r="C13" s="12" t="s">
        <v>130</v>
      </c>
    </row>
    <row r="14" spans="1:3">
      <c r="A14" s="6" t="s">
        <v>11</v>
      </c>
      <c r="B14" s="12">
        <v>446410.58289999998</v>
      </c>
      <c r="C14" s="13">
        <v>4.0899999999999998E-160</v>
      </c>
    </row>
    <row r="15" spans="1:3">
      <c r="A15" s="6" t="s">
        <v>6</v>
      </c>
      <c r="B15" s="12">
        <v>35.678031070000003</v>
      </c>
      <c r="C15" s="13">
        <v>4.7499999999999999E-94</v>
      </c>
    </row>
  </sheetData>
  <mergeCells count="2">
    <mergeCell ref="A2:B2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workbookViewId="0">
      <selection sqref="A1:D1"/>
    </sheetView>
  </sheetViews>
  <sheetFormatPr defaultRowHeight="14.4"/>
  <cols>
    <col min="1" max="1" width="17.21875" bestFit="1" customWidth="1"/>
    <col min="2" max="2" width="17" bestFit="1" customWidth="1"/>
    <col min="3" max="3" width="9.21875" bestFit="1" customWidth="1"/>
    <col min="4" max="4" width="11.88671875" customWidth="1"/>
  </cols>
  <sheetData>
    <row r="1" spans="1:4" ht="18">
      <c r="A1" s="16" t="s">
        <v>114</v>
      </c>
      <c r="B1" s="16"/>
      <c r="C1" s="16"/>
      <c r="D1" s="16"/>
    </row>
    <row r="3" spans="1:4">
      <c r="A3" s="17" t="s">
        <v>139</v>
      </c>
      <c r="B3" s="18" t="s">
        <v>140</v>
      </c>
    </row>
    <row r="4" spans="1:4">
      <c r="A4" s="19" t="s">
        <v>141</v>
      </c>
      <c r="B4" s="20" t="s">
        <v>25</v>
      </c>
    </row>
    <row r="5" spans="1:4">
      <c r="A5" s="19" t="s">
        <v>14</v>
      </c>
      <c r="B5" s="20" t="s">
        <v>147</v>
      </c>
    </row>
    <row r="6" spans="1:4">
      <c r="A6" s="19" t="s">
        <v>115</v>
      </c>
      <c r="B6" s="18">
        <v>0.90239999999999998</v>
      </c>
    </row>
    <row r="7" spans="1:4">
      <c r="A7" s="19" t="s">
        <v>116</v>
      </c>
      <c r="B7" s="18">
        <v>0.81440000000000001</v>
      </c>
    </row>
    <row r="8" spans="1:4">
      <c r="A8" s="19" t="s">
        <v>117</v>
      </c>
      <c r="B8" s="18">
        <v>0.81020000000000003</v>
      </c>
    </row>
    <row r="9" spans="1:4">
      <c r="A9" s="19" t="s">
        <v>118</v>
      </c>
      <c r="B9" s="18">
        <v>45205.22</v>
      </c>
    </row>
    <row r="10" spans="1:4">
      <c r="A10" s="19" t="s">
        <v>119</v>
      </c>
      <c r="B10" s="18">
        <v>320</v>
      </c>
    </row>
    <row r="11" spans="1:4">
      <c r="A11" s="19" t="s">
        <v>127</v>
      </c>
      <c r="B11" s="21">
        <v>4.4776999999999999E-110</v>
      </c>
    </row>
    <row r="13" spans="1:4" ht="18">
      <c r="A13" s="16" t="s">
        <v>148</v>
      </c>
      <c r="B13" s="16"/>
      <c r="C13" s="16"/>
      <c r="D13" s="16"/>
    </row>
    <row r="15" spans="1:4" ht="28.8">
      <c r="A15" s="17" t="s">
        <v>143</v>
      </c>
      <c r="B15" s="18" t="s">
        <v>144</v>
      </c>
      <c r="C15" s="18" t="s">
        <v>130</v>
      </c>
      <c r="D15" s="17" t="s">
        <v>149</v>
      </c>
    </row>
    <row r="16" spans="1:4">
      <c r="A16" s="19" t="s">
        <v>11</v>
      </c>
      <c r="B16" s="22">
        <v>89288.89</v>
      </c>
      <c r="C16" s="20">
        <v>7.2900000000000006E-2</v>
      </c>
      <c r="D16" s="23" t="s">
        <v>152</v>
      </c>
    </row>
    <row r="17" spans="1:4">
      <c r="A17" s="19" t="s">
        <v>146</v>
      </c>
      <c r="B17" s="18">
        <v>1.2023999999999999</v>
      </c>
      <c r="C17" s="21">
        <v>6.3799999999999999E-18</v>
      </c>
      <c r="D17" s="23" t="s">
        <v>153</v>
      </c>
    </row>
    <row r="18" spans="1:4">
      <c r="A18" s="19" t="s">
        <v>6</v>
      </c>
      <c r="B18" s="18">
        <v>33.984299999999998</v>
      </c>
      <c r="C18" s="21">
        <v>9.6899999999999999E-102</v>
      </c>
      <c r="D18" s="23" t="s">
        <v>153</v>
      </c>
    </row>
    <row r="19" spans="1:4" ht="28.8">
      <c r="A19" s="19" t="s">
        <v>150</v>
      </c>
      <c r="B19" s="18">
        <v>2887.04</v>
      </c>
      <c r="C19" s="21">
        <v>3.7300000000000001E-9</v>
      </c>
      <c r="D19" s="23" t="s">
        <v>153</v>
      </c>
    </row>
    <row r="20" spans="1:4">
      <c r="A20" s="19" t="s">
        <v>151</v>
      </c>
      <c r="B20" s="18">
        <v>11104.99</v>
      </c>
      <c r="C20" s="18">
        <v>2.5399999999999999E-2</v>
      </c>
      <c r="D20" s="23" t="s">
        <v>153</v>
      </c>
    </row>
    <row r="21" spans="1:4">
      <c r="A21" s="19" t="s">
        <v>1</v>
      </c>
      <c r="B21" s="20">
        <v>-8661.4500000000007</v>
      </c>
      <c r="C21" s="20">
        <v>0.2351</v>
      </c>
      <c r="D21" s="23" t="s">
        <v>152</v>
      </c>
    </row>
    <row r="22" spans="1:4">
      <c r="A22" s="19" t="s">
        <v>2</v>
      </c>
      <c r="B22" s="20">
        <v>13316.41</v>
      </c>
      <c r="C22" s="20">
        <v>0.1046</v>
      </c>
      <c r="D22" s="23" t="s">
        <v>152</v>
      </c>
    </row>
    <row r="23" spans="1:4">
      <c r="A23" s="19" t="s">
        <v>3</v>
      </c>
      <c r="B23" s="20">
        <v>8380.77</v>
      </c>
      <c r="C23" s="20">
        <v>0.25779999999999997</v>
      </c>
      <c r="D23" s="23" t="s">
        <v>152</v>
      </c>
    </row>
  </sheetData>
  <mergeCells count="2">
    <mergeCell ref="A13:D13"/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21"/>
  <sheetViews>
    <sheetView workbookViewId="0">
      <selection activeCell="I6" sqref="I6"/>
    </sheetView>
  </sheetViews>
  <sheetFormatPr defaultRowHeight="14.4"/>
  <cols>
    <col min="1" max="1" width="10.21875" customWidth="1"/>
    <col min="3" max="3" width="14.109375" customWidth="1"/>
    <col min="4" max="4" width="15.6640625" customWidth="1"/>
    <col min="5" max="5" width="9.33203125" customWidth="1"/>
    <col min="6" max="6" width="17.5546875" bestFit="1" customWidth="1"/>
    <col min="7" max="7" width="18.21875" customWidth="1"/>
    <col min="8" max="8" width="13.88671875" customWidth="1"/>
    <col min="9" max="9" width="16.77734375" customWidth="1"/>
    <col min="10" max="10" width="15.109375" customWidth="1"/>
    <col min="11" max="11" width="18" customWidth="1"/>
    <col min="12" max="12" width="12.6640625" bestFit="1" customWidth="1"/>
  </cols>
  <sheetData>
    <row r="1" spans="1:12" ht="27.6">
      <c r="A1" s="1" t="s">
        <v>15</v>
      </c>
      <c r="B1" s="1" t="s">
        <v>0</v>
      </c>
      <c r="C1" s="1" t="s">
        <v>5</v>
      </c>
      <c r="D1" s="1" t="s">
        <v>146</v>
      </c>
      <c r="E1" s="1" t="s">
        <v>6</v>
      </c>
      <c r="F1" s="1" t="s">
        <v>154</v>
      </c>
      <c r="G1" s="1" t="s">
        <v>7</v>
      </c>
      <c r="H1" s="1" t="s">
        <v>1</v>
      </c>
      <c r="I1" s="1" t="s">
        <v>155</v>
      </c>
      <c r="J1" s="1" t="s">
        <v>3</v>
      </c>
      <c r="K1" s="1" t="s">
        <v>12</v>
      </c>
      <c r="L1" s="1" t="s">
        <v>13</v>
      </c>
    </row>
    <row r="2" spans="1:12">
      <c r="A2" t="s">
        <v>59</v>
      </c>
      <c r="B2" t="s">
        <v>8</v>
      </c>
      <c r="C2">
        <v>713611.16</v>
      </c>
      <c r="D2">
        <v>52758.01</v>
      </c>
      <c r="E2">
        <v>4063</v>
      </c>
      <c r="F2">
        <v>91.7</v>
      </c>
      <c r="G2">
        <v>3.5</v>
      </c>
      <c r="H2">
        <v>1</v>
      </c>
      <c r="I2">
        <v>0</v>
      </c>
      <c r="J2">
        <v>0</v>
      </c>
      <c r="K2">
        <f>89288.89034
+1.202449548*D2
+33.98426571*E2
+2887.042076*F2
+11104.99019*G2
-8661.454863*H2
+13316.40767*I2
+8380.768503*J2</f>
        <v>585753.57636880968</v>
      </c>
      <c r="L2">
        <f>C2-K2</f>
        <v>127857.58363119035</v>
      </c>
    </row>
    <row r="3" spans="1:12">
      <c r="A3" t="s">
        <v>57</v>
      </c>
      <c r="B3" t="s">
        <v>8</v>
      </c>
      <c r="C3">
        <v>625514.04</v>
      </c>
      <c r="D3">
        <v>32266.639999999999</v>
      </c>
      <c r="E3">
        <v>2414</v>
      </c>
      <c r="F3">
        <v>92.1</v>
      </c>
      <c r="G3">
        <v>5</v>
      </c>
      <c r="H3">
        <v>1</v>
      </c>
      <c r="I3">
        <v>0</v>
      </c>
      <c r="J3">
        <v>0</v>
      </c>
      <c r="K3">
        <f>89288.89034
+1.202449548*D3
+33.98426571*E3
+2887.042076*F3
+11104.99019*G3
-8661.454863*H3
+13316.40767*I3
+8380.768503*J3</f>
        <v>522885.98573401867</v>
      </c>
      <c r="L3">
        <f>C3-K3</f>
        <v>102628.05426598137</v>
      </c>
    </row>
    <row r="4" spans="1:12">
      <c r="A4" t="s">
        <v>82</v>
      </c>
      <c r="B4" t="s">
        <v>8</v>
      </c>
      <c r="C4">
        <v>787715.51</v>
      </c>
      <c r="D4">
        <v>78111.97</v>
      </c>
      <c r="E4">
        <v>6389</v>
      </c>
      <c r="F4">
        <v>83.9</v>
      </c>
      <c r="G4">
        <v>4.8</v>
      </c>
      <c r="H4">
        <v>1</v>
      </c>
      <c r="I4">
        <v>0</v>
      </c>
      <c r="J4">
        <v>0</v>
      </c>
      <c r="K4">
        <f>89288.89034
+1.202449548*D4
+33.98426571*E4
+2887.042076*F4
+11104.99019*G4
-8661.454863*H4
+13316.40767*I4
+8380.768503*J4</f>
        <v>687205.39520647959</v>
      </c>
      <c r="L4">
        <f>C4-K4</f>
        <v>100510.11479352042</v>
      </c>
    </row>
    <row r="5" spans="1:12">
      <c r="A5" t="s">
        <v>104</v>
      </c>
      <c r="B5" t="s">
        <v>8</v>
      </c>
      <c r="C5">
        <v>813316.71</v>
      </c>
      <c r="D5">
        <v>56737.3</v>
      </c>
      <c r="E5">
        <v>8300</v>
      </c>
      <c r="F5">
        <v>83.2</v>
      </c>
      <c r="G5">
        <v>4.3</v>
      </c>
      <c r="H5">
        <v>1</v>
      </c>
      <c r="I5">
        <v>0</v>
      </c>
      <c r="J5">
        <v>0</v>
      </c>
      <c r="K5">
        <f>89288.89034
+1.202449548*D5
+33.98426571*E5
+2887.042076*F5
+11104.99019*G5
-8661.454863*H5
+13316.40767*I5
+8380.768503*J5</f>
        <v>718873.94014994043</v>
      </c>
      <c r="L5">
        <f>C5-K5</f>
        <v>94442.769850059529</v>
      </c>
    </row>
    <row r="6" spans="1:12">
      <c r="A6" t="s">
        <v>95</v>
      </c>
      <c r="B6" t="s">
        <v>9</v>
      </c>
      <c r="C6">
        <v>799046.94</v>
      </c>
      <c r="D6">
        <v>63582.11</v>
      </c>
      <c r="E6">
        <v>6856</v>
      </c>
      <c r="F6">
        <v>89.5</v>
      </c>
      <c r="G6">
        <v>3.2</v>
      </c>
      <c r="H6">
        <v>0</v>
      </c>
      <c r="I6">
        <v>1</v>
      </c>
      <c r="J6">
        <v>0</v>
      </c>
      <c r="K6">
        <f>89288.89034
+1.202449548*D6
+33.98426571*E6
+2887.042076*F6
+11104.99019*G6
-8661.454863*H6
+13316.40767*I6
+8380.768503*J6</f>
        <v>705981.93755814619</v>
      </c>
      <c r="L6">
        <f>C6-K6</f>
        <v>93065.00244185375</v>
      </c>
    </row>
    <row r="7" spans="1:12">
      <c r="A7" t="s">
        <v>100</v>
      </c>
      <c r="B7" t="s">
        <v>10</v>
      </c>
      <c r="C7">
        <v>686737.87</v>
      </c>
      <c r="D7">
        <v>38297.58</v>
      </c>
      <c r="E7">
        <v>5893</v>
      </c>
      <c r="F7">
        <v>77.599999999999994</v>
      </c>
      <c r="G7">
        <v>3</v>
      </c>
      <c r="H7">
        <v>0</v>
      </c>
      <c r="I7">
        <v>0</v>
      </c>
      <c r="J7">
        <v>1</v>
      </c>
      <c r="K7">
        <f>89288.89034
+1.202449548*D7
+33.98426571*E7
+2887.042076*F7
+11104.99019*G7
-8661.454863*H7
+13316.40767*I7
+8380.768503*J7</f>
        <v>601339.28010012384</v>
      </c>
      <c r="L7">
        <f>C7-K7</f>
        <v>85398.589899876155</v>
      </c>
    </row>
    <row r="8" spans="1:12">
      <c r="A8" t="s">
        <v>31</v>
      </c>
      <c r="B8" t="s">
        <v>32</v>
      </c>
      <c r="C8">
        <v>930581.7</v>
      </c>
      <c r="D8">
        <v>71838.86</v>
      </c>
      <c r="E8">
        <v>10979</v>
      </c>
      <c r="F8">
        <v>88.6</v>
      </c>
      <c r="G8">
        <v>3.8</v>
      </c>
      <c r="H8">
        <v>0</v>
      </c>
      <c r="I8">
        <v>0</v>
      </c>
      <c r="J8">
        <v>0</v>
      </c>
      <c r="K8">
        <f>89288.89034
+1.202449548*D8
+33.98426571*E8
+2887.042076*F8
+11104.99019*G8
-8661.454863*H8
+13316.40767*I8
+8380.768503*J8</f>
        <v>846775.63896152528</v>
      </c>
      <c r="L8">
        <f>C8-K8</f>
        <v>83806.061038474669</v>
      </c>
    </row>
    <row r="9" spans="1:12">
      <c r="A9" t="s">
        <v>106</v>
      </c>
      <c r="B9" t="s">
        <v>10</v>
      </c>
      <c r="C9">
        <v>763162.45</v>
      </c>
      <c r="D9">
        <v>55477.61</v>
      </c>
      <c r="E9">
        <v>5903</v>
      </c>
      <c r="F9">
        <v>96.2</v>
      </c>
      <c r="G9">
        <v>3.3</v>
      </c>
      <c r="H9">
        <v>0</v>
      </c>
      <c r="I9">
        <v>0</v>
      </c>
      <c r="J9">
        <v>1</v>
      </c>
      <c r="K9">
        <f>89288.89034
+1.202449548*D9
+33.98426571*E9
+2887.042076*F9
+11104.99019*G9
-8661.454863*H9
+13316.40767*I9
+8380.768503*J9</f>
        <v>679367.72173595021</v>
      </c>
      <c r="L9">
        <f>C9-K9</f>
        <v>83794.728264049743</v>
      </c>
    </row>
    <row r="10" spans="1:12">
      <c r="A10" t="s">
        <v>52</v>
      </c>
      <c r="B10" t="s">
        <v>10</v>
      </c>
      <c r="C10">
        <v>727241.86</v>
      </c>
      <c r="D10">
        <v>72731.14</v>
      </c>
      <c r="E10">
        <v>4644</v>
      </c>
      <c r="F10">
        <v>87.1</v>
      </c>
      <c r="G10">
        <v>4.5999999999999996</v>
      </c>
      <c r="H10">
        <v>0</v>
      </c>
      <c r="I10">
        <v>0</v>
      </c>
      <c r="J10">
        <v>1</v>
      </c>
      <c r="K10">
        <f>89288.89034
+1.202449548*D10
+33.98426571*E10
+2887.042076*F10
+11104.99019*G10
-8661.454863*H10
+13316.40767*I10
+8380.768503*J10</f>
        <v>645492.43491236481</v>
      </c>
      <c r="L10">
        <f>C10-K10</f>
        <v>81749.425087635173</v>
      </c>
    </row>
    <row r="11" spans="1:12">
      <c r="A11" t="s">
        <v>42</v>
      </c>
      <c r="B11" t="s">
        <v>8</v>
      </c>
      <c r="C11">
        <v>657429.18000000005</v>
      </c>
      <c r="D11">
        <v>68077.539999999994</v>
      </c>
      <c r="E11">
        <v>3360</v>
      </c>
      <c r="F11">
        <v>88.2</v>
      </c>
      <c r="G11">
        <v>4</v>
      </c>
      <c r="H11">
        <v>1</v>
      </c>
      <c r="I11">
        <v>0</v>
      </c>
      <c r="J11">
        <v>0</v>
      </c>
      <c r="K11">
        <f>89288.89034
+1.202449548*D11
+33.98426571*E11
+2887.042076*F11
+11104.99019*G11
-8661.454863*H11
+13316.40767*I11
+8380.768503*J11</f>
        <v>575731.44732775202</v>
      </c>
      <c r="L11">
        <f>C11-K11</f>
        <v>81697.732672248036</v>
      </c>
    </row>
    <row r="12" spans="1:12">
      <c r="A12" t="s">
        <v>49</v>
      </c>
      <c r="B12" t="s">
        <v>8</v>
      </c>
      <c r="C12">
        <v>661927.14</v>
      </c>
      <c r="D12">
        <v>70937.240000000005</v>
      </c>
      <c r="E12">
        <v>3595</v>
      </c>
      <c r="F12">
        <v>88.9</v>
      </c>
      <c r="G12">
        <v>3.3</v>
      </c>
      <c r="H12">
        <v>1</v>
      </c>
      <c r="I12">
        <v>0</v>
      </c>
      <c r="J12">
        <v>0</v>
      </c>
      <c r="K12">
        <f>89288.89034
+1.202449548*D12
+33.98426571*E12
+2887.042076*F12
+11104.99019*G12
-8661.454863*H12
+13316.40767*I12
+8380.768503*J12</f>
        <v>581403.83106221759</v>
      </c>
      <c r="L12">
        <f>C12-K12</f>
        <v>80523.308937782422</v>
      </c>
    </row>
    <row r="13" spans="1:12">
      <c r="A13" t="s">
        <v>96</v>
      </c>
      <c r="B13" t="s">
        <v>9</v>
      </c>
      <c r="C13">
        <v>840108.12</v>
      </c>
      <c r="D13">
        <v>65272.58</v>
      </c>
      <c r="E13">
        <v>8165</v>
      </c>
      <c r="F13">
        <v>87.8</v>
      </c>
      <c r="G13">
        <v>4.3</v>
      </c>
      <c r="H13">
        <v>0</v>
      </c>
      <c r="I13">
        <v>1</v>
      </c>
      <c r="J13">
        <v>0</v>
      </c>
      <c r="K13">
        <f>89288.89034
+1.202449548*D13
+33.98426571*E13
+2887.042076*F13
+11104.99019*G13
-8661.454863*H13
+13316.40767*I13
+8380.768503*J13</f>
        <v>759807.56393974379</v>
      </c>
      <c r="L13">
        <f>C13-K13</f>
        <v>80300.556060256204</v>
      </c>
    </row>
    <row r="14" spans="1:12">
      <c r="A14" t="s">
        <v>58</v>
      </c>
      <c r="B14" t="s">
        <v>10</v>
      </c>
      <c r="C14">
        <v>795153.84</v>
      </c>
      <c r="D14">
        <v>64294.23</v>
      </c>
      <c r="E14">
        <v>6992</v>
      </c>
      <c r="F14">
        <v>94.1</v>
      </c>
      <c r="G14">
        <v>3</v>
      </c>
      <c r="H14">
        <v>0</v>
      </c>
      <c r="I14">
        <v>0</v>
      </c>
      <c r="J14">
        <v>1</v>
      </c>
      <c r="K14">
        <f>89288.89034
+1.202449548*D14
+33.98426571*E14
+2887.042076*F14
+11104.99019*G14
-8661.454863*H14
+13316.40767*I14
+8380.768503*J14</f>
        <v>717583.84241142811</v>
      </c>
      <c r="L14">
        <f>C14-K14</f>
        <v>77569.99758857186</v>
      </c>
    </row>
    <row r="15" spans="1:12">
      <c r="A15" t="s">
        <v>29</v>
      </c>
      <c r="B15" t="s">
        <v>8</v>
      </c>
      <c r="C15">
        <v>850164.26</v>
      </c>
      <c r="D15">
        <v>68148.52</v>
      </c>
      <c r="E15">
        <v>8567</v>
      </c>
      <c r="F15">
        <v>95.6</v>
      </c>
      <c r="G15">
        <v>3.9</v>
      </c>
      <c r="H15">
        <v>1</v>
      </c>
      <c r="I15">
        <v>0</v>
      </c>
      <c r="J15">
        <v>0</v>
      </c>
      <c r="K15">
        <f>89288.89034
+1.202449548*D15
+33.98426571*E15
+2887.042076*F15
+11104.99019*G15
-8661.454863*H15
+13316.40767*I15
+8380.768503*J15</f>
        <v>773026.48109203891</v>
      </c>
      <c r="L15">
        <f>C15-K15</f>
        <v>77137.778907961096</v>
      </c>
    </row>
    <row r="16" spans="1:12">
      <c r="A16" t="s">
        <v>63</v>
      </c>
      <c r="B16" t="s">
        <v>9</v>
      </c>
      <c r="C16">
        <v>914544.17</v>
      </c>
      <c r="D16">
        <v>61541.21</v>
      </c>
      <c r="E16">
        <v>10396</v>
      </c>
      <c r="F16">
        <v>88.1</v>
      </c>
      <c r="G16">
        <v>4.8</v>
      </c>
      <c r="H16">
        <v>0</v>
      </c>
      <c r="I16">
        <v>1</v>
      </c>
      <c r="J16">
        <v>0</v>
      </c>
      <c r="K16">
        <f>89288.89034
+1.202449548*D16
+33.98426571*E16
+2887.042076*F16
+11104.99019*G16
-8661.454863*H16
+13316.40767*I16
+8380.768503*J16</f>
        <v>837558.28428663313</v>
      </c>
      <c r="L16">
        <f>C16-K16</f>
        <v>76985.885713366908</v>
      </c>
    </row>
    <row r="17" spans="1:12">
      <c r="A17" t="s">
        <v>71</v>
      </c>
      <c r="B17" t="s">
        <v>32</v>
      </c>
      <c r="C17">
        <v>724216.07</v>
      </c>
      <c r="D17">
        <v>56918.16</v>
      </c>
      <c r="E17">
        <v>7015</v>
      </c>
      <c r="F17">
        <v>74.2</v>
      </c>
      <c r="G17">
        <v>3.4</v>
      </c>
      <c r="H17">
        <v>0</v>
      </c>
      <c r="I17">
        <v>0</v>
      </c>
      <c r="J17">
        <v>0</v>
      </c>
      <c r="K17">
        <f>89288.89034
+1.202449548*D17
+33.98426571*E17
+2887.042076*F17
+11104.99019*G17
-8661.454863*H17
+13316.40767*I17
+8380.768503*J17</f>
        <v>648105.21874584176</v>
      </c>
      <c r="L17">
        <f>C17-K17</f>
        <v>76110.851254158188</v>
      </c>
    </row>
    <row r="18" spans="1:12">
      <c r="A18" t="s">
        <v>50</v>
      </c>
      <c r="B18" t="s">
        <v>8</v>
      </c>
      <c r="C18">
        <v>788087.68</v>
      </c>
      <c r="D18">
        <v>70144.78</v>
      </c>
      <c r="E18">
        <v>6806</v>
      </c>
      <c r="F18">
        <v>93.1</v>
      </c>
      <c r="G18">
        <v>4.3</v>
      </c>
      <c r="H18">
        <v>1</v>
      </c>
      <c r="I18">
        <v>0</v>
      </c>
      <c r="J18">
        <v>0</v>
      </c>
      <c r="K18">
        <f>89288.89034
+1.202449548*D18
+33.98426571*E18
+2887.042076*F18
+11104.99019*G18
-8661.454863*H18
+13316.40767*I18
+8380.768503*J18</f>
        <v>712804.9819974195</v>
      </c>
      <c r="L18">
        <f>C18-K18</f>
        <v>75282.698002580553</v>
      </c>
    </row>
    <row r="19" spans="1:12">
      <c r="A19" t="s">
        <v>76</v>
      </c>
      <c r="B19" t="s">
        <v>10</v>
      </c>
      <c r="C19">
        <v>783582</v>
      </c>
      <c r="D19">
        <v>29389.32</v>
      </c>
      <c r="E19">
        <v>7925</v>
      </c>
      <c r="F19">
        <v>90.9</v>
      </c>
      <c r="G19">
        <v>4</v>
      </c>
      <c r="H19">
        <v>0</v>
      </c>
      <c r="I19">
        <v>0</v>
      </c>
      <c r="J19">
        <v>1</v>
      </c>
      <c r="K19">
        <f>89288.89034
+1.202449548*D19
+33.98426571*E19
+2887.042076*F19
+11104.99019*G19
-8661.454863*H19
+13316.40767*I19
+8380.768503*J19</f>
        <v>709186.22461317747</v>
      </c>
      <c r="L19">
        <f>C19-K19</f>
        <v>74395.775386822526</v>
      </c>
    </row>
    <row r="20" spans="1:12">
      <c r="A20" t="s">
        <v>56</v>
      </c>
      <c r="B20" t="s">
        <v>10</v>
      </c>
      <c r="C20">
        <v>735509.4</v>
      </c>
      <c r="D20">
        <v>78839.39</v>
      </c>
      <c r="E20">
        <v>5150</v>
      </c>
      <c r="F20">
        <v>85.8</v>
      </c>
      <c r="G20">
        <v>4.3</v>
      </c>
      <c r="H20">
        <v>0</v>
      </c>
      <c r="I20">
        <v>0</v>
      </c>
      <c r="J20">
        <v>1</v>
      </c>
      <c r="K20">
        <f>89288.89034
+1.202449548*D20
+33.98426571*E20
+2887.042076*F20
+11104.99019*G20
-8661.454863*H20
+13316.40767*I20
+8380.768503*J20</f>
        <v>662948.68405739579</v>
      </c>
      <c r="L20">
        <f>C20-K20</f>
        <v>72560.715942604234</v>
      </c>
    </row>
    <row r="21" spans="1:12">
      <c r="A21" t="s">
        <v>61</v>
      </c>
      <c r="B21" t="s">
        <v>10</v>
      </c>
      <c r="C21">
        <v>820519.04</v>
      </c>
      <c r="D21">
        <v>57360.01</v>
      </c>
      <c r="E21">
        <v>8434</v>
      </c>
      <c r="F21">
        <v>84.1</v>
      </c>
      <c r="G21">
        <v>4.7</v>
      </c>
      <c r="H21">
        <v>0</v>
      </c>
      <c r="I21">
        <v>0</v>
      </c>
      <c r="J21">
        <v>1</v>
      </c>
      <c r="K21">
        <f>89288.89034
+1.202449548*D21
+33.98426571*E21
+2887.042076*F21
+11104.99019*G21
-8661.454863*H21
+13316.40767*I21
+8380.768503*J21</f>
        <v>748259.16642351553</v>
      </c>
      <c r="L21">
        <f>C21-K21</f>
        <v>72259.873576484504</v>
      </c>
    </row>
    <row r="22" spans="1:12">
      <c r="A22" t="s">
        <v>72</v>
      </c>
      <c r="B22" t="s">
        <v>9</v>
      </c>
      <c r="C22">
        <v>778298.88</v>
      </c>
      <c r="D22">
        <v>48438.85</v>
      </c>
      <c r="E22">
        <v>6992</v>
      </c>
      <c r="F22">
        <v>91</v>
      </c>
      <c r="G22">
        <v>4.2</v>
      </c>
      <c r="H22">
        <v>0</v>
      </c>
      <c r="I22">
        <v>1</v>
      </c>
      <c r="J22">
        <v>0</v>
      </c>
      <c r="K22">
        <f>89288.89034
+1.202449548*D22
+33.98426571*E22
+2887.042076*F22
+11104.99019*G22
-8661.454863*H22
+13316.40767*I22
+8380.768503*J22</f>
        <v>707830.34485645988</v>
      </c>
      <c r="L22">
        <f>C22-K22</f>
        <v>70468.535143540124</v>
      </c>
    </row>
    <row r="23" spans="1:12">
      <c r="A23" t="s">
        <v>81</v>
      </c>
      <c r="B23" t="s">
        <v>32</v>
      </c>
      <c r="C23">
        <v>735786.64</v>
      </c>
      <c r="D23">
        <v>61391.8</v>
      </c>
      <c r="E23">
        <v>5575</v>
      </c>
      <c r="F23">
        <v>90</v>
      </c>
      <c r="G23">
        <v>4.8</v>
      </c>
      <c r="H23">
        <v>0</v>
      </c>
      <c r="I23">
        <v>0</v>
      </c>
      <c r="J23">
        <v>0</v>
      </c>
      <c r="K23">
        <f>89288.89034
+1.202449548*D23
+33.98426571*E23
+2887.042076*F23
+11104.99019*G23
-8661.454863*H23
+13316.40767*I23
+8380.768503*J23</f>
        <v>665709.45358615648</v>
      </c>
      <c r="L23">
        <f>C23-K23</f>
        <v>70077.186413843534</v>
      </c>
    </row>
    <row r="24" spans="1:12">
      <c r="A24" t="s">
        <v>31</v>
      </c>
      <c r="B24" t="s">
        <v>32</v>
      </c>
      <c r="C24">
        <v>910791.94</v>
      </c>
      <c r="D24">
        <v>67979.88</v>
      </c>
      <c r="E24">
        <v>11230</v>
      </c>
      <c r="F24">
        <v>85.3</v>
      </c>
      <c r="G24">
        <v>3.8</v>
      </c>
      <c r="H24">
        <v>0</v>
      </c>
      <c r="I24">
        <v>0</v>
      </c>
      <c r="J24">
        <v>0</v>
      </c>
      <c r="K24">
        <f>89288.89034
+1.202449548*D24
+33.98426571*E24
+2887.042076*F24
+11104.99019*G24
-8661.454863*H24
+13316.40767*I24
+8380.768503*J24</f>
        <v>841138.22204719414</v>
      </c>
      <c r="L24">
        <f>C24-K24</f>
        <v>69653.717952805804</v>
      </c>
    </row>
    <row r="25" spans="1:12">
      <c r="A25" t="s">
        <v>83</v>
      </c>
      <c r="B25" t="s">
        <v>8</v>
      </c>
      <c r="C25">
        <v>795464.47</v>
      </c>
      <c r="D25">
        <v>54300.87</v>
      </c>
      <c r="E25">
        <v>7875</v>
      </c>
      <c r="F25">
        <v>94.1</v>
      </c>
      <c r="G25">
        <v>3.7</v>
      </c>
      <c r="H25">
        <v>1</v>
      </c>
      <c r="I25">
        <v>0</v>
      </c>
      <c r="J25">
        <v>0</v>
      </c>
      <c r="K25">
        <f>89288.89034
+1.202449548*D25
+33.98426571*E25
+2887.042076*F25
+11104.99019*G25
-8661.454863*H25
+13316.40767*I25
+8380.768503*J25</f>
        <v>726306.70758535678</v>
      </c>
      <c r="L25">
        <f>C25-K25</f>
        <v>69157.762414643192</v>
      </c>
    </row>
    <row r="26" spans="1:12">
      <c r="A26" t="s">
        <v>90</v>
      </c>
      <c r="B26" t="s">
        <v>10</v>
      </c>
      <c r="C26">
        <v>723305.11</v>
      </c>
      <c r="D26">
        <v>61650.79</v>
      </c>
      <c r="E26">
        <v>5321</v>
      </c>
      <c r="F26">
        <v>89.2</v>
      </c>
      <c r="G26">
        <v>4</v>
      </c>
      <c r="H26">
        <v>0</v>
      </c>
      <c r="I26">
        <v>0</v>
      </c>
      <c r="J26">
        <v>1</v>
      </c>
      <c r="K26">
        <f>89288.89034
+1.202449548*D26
+33.98426571*E26
+2887.042076*F26
+11104.99019*G26
-8661.454863*H26
+13316.40767*I26
+8380.768503*J26</f>
        <v>654576.01519445295</v>
      </c>
      <c r="L26">
        <f>C26-K26</f>
        <v>68729.094805547036</v>
      </c>
    </row>
    <row r="27" spans="1:12">
      <c r="A27" t="s">
        <v>71</v>
      </c>
      <c r="B27" t="s">
        <v>32</v>
      </c>
      <c r="C27">
        <v>620973.03</v>
      </c>
      <c r="D27">
        <v>23254.57</v>
      </c>
      <c r="E27">
        <v>3847</v>
      </c>
      <c r="F27">
        <v>93</v>
      </c>
      <c r="G27">
        <v>3.3</v>
      </c>
      <c r="H27">
        <v>0</v>
      </c>
      <c r="I27">
        <v>0</v>
      </c>
      <c r="J27">
        <v>0</v>
      </c>
      <c r="K27">
        <f>89288.89034
+1.202449548*D27
+33.98426571*E27
+2887.042076*F27
+11104.99019*G27
-8661.454863*H27
+13316.40767*I27
+8380.768503*J27</f>
        <v>553130.18840680434</v>
      </c>
      <c r="L27">
        <f>C27-K27</f>
        <v>67842.841593195684</v>
      </c>
    </row>
    <row r="28" spans="1:12">
      <c r="A28" t="s">
        <v>76</v>
      </c>
      <c r="B28" t="s">
        <v>10</v>
      </c>
      <c r="C28">
        <v>898031.04</v>
      </c>
      <c r="D28">
        <v>74881.56</v>
      </c>
      <c r="E28">
        <v>9999</v>
      </c>
      <c r="F28">
        <v>89.6</v>
      </c>
      <c r="G28">
        <v>4.0999999999999996</v>
      </c>
      <c r="H28">
        <v>0</v>
      </c>
      <c r="I28">
        <v>0</v>
      </c>
      <c r="J28">
        <v>1</v>
      </c>
      <c r="K28">
        <f>89288.89034
+1.202449548*D28
+33.98426571*E28
+2887.042076*F28
+11104.99019*G28
-8661.454863*H28
+13316.40767*I28
+8380.768503*J28</f>
        <v>831729.05944142491</v>
      </c>
      <c r="L28">
        <f>C28-K28</f>
        <v>66301.980558575131</v>
      </c>
    </row>
    <row r="29" spans="1:12">
      <c r="A29" t="s">
        <v>78</v>
      </c>
      <c r="B29" t="s">
        <v>32</v>
      </c>
      <c r="C29">
        <v>765906.95</v>
      </c>
      <c r="D29">
        <v>48031.74</v>
      </c>
      <c r="E29">
        <v>6516</v>
      </c>
      <c r="F29">
        <v>99</v>
      </c>
      <c r="G29">
        <v>4.3</v>
      </c>
      <c r="H29">
        <v>0</v>
      </c>
      <c r="I29">
        <v>0</v>
      </c>
      <c r="J29">
        <v>0</v>
      </c>
      <c r="K29">
        <f>89288.89034
+1.202449548*D29
+33.98426571*E29
+2887.042076*F29
+11104.99019*G29
-8661.454863*H29
+13316.40767*I29
+8380.768503*J29</f>
        <v>702054.73310001346</v>
      </c>
      <c r="L29">
        <f>C29-K29</f>
        <v>63852.216899986495</v>
      </c>
    </row>
    <row r="30" spans="1:12">
      <c r="A30" t="s">
        <v>97</v>
      </c>
      <c r="B30" t="s">
        <v>10</v>
      </c>
      <c r="C30">
        <v>677640.65</v>
      </c>
      <c r="D30">
        <v>51450.55</v>
      </c>
      <c r="E30">
        <v>4902</v>
      </c>
      <c r="F30">
        <v>83.7</v>
      </c>
      <c r="G30">
        <v>4.2</v>
      </c>
      <c r="H30">
        <v>0</v>
      </c>
      <c r="I30">
        <v>0</v>
      </c>
      <c r="J30">
        <v>1</v>
      </c>
      <c r="K30">
        <f>89288.89034
+1.202449548*D30
+33.98426571*E30
+2887.042076*F30
+11104.99019*G30
-8661.454863*H30
+13316.40767*I30
+8380.768503*J30</f>
        <v>614413.60050447145</v>
      </c>
      <c r="L30">
        <f>C30-K30</f>
        <v>63227.049495528569</v>
      </c>
    </row>
    <row r="31" spans="1:12">
      <c r="A31" t="s">
        <v>99</v>
      </c>
      <c r="B31" t="s">
        <v>8</v>
      </c>
      <c r="C31">
        <v>739374.56</v>
      </c>
      <c r="D31">
        <v>23914.97</v>
      </c>
      <c r="E31">
        <v>8018</v>
      </c>
      <c r="F31">
        <v>89</v>
      </c>
      <c r="G31">
        <v>3.5</v>
      </c>
      <c r="H31">
        <v>1</v>
      </c>
      <c r="I31">
        <v>0</v>
      </c>
      <c r="J31">
        <v>0</v>
      </c>
      <c r="K31">
        <f>89288.89034
+1.202449548*D31
+33.98426571*E31
+2887.042076*F31
+11104.99019*G31
-8661.454863*H31
+13316.40767*I31
+8380.768503*J31</f>
        <v>677684.03323571361</v>
      </c>
      <c r="L31">
        <f>C31-K31</f>
        <v>61690.526764286449</v>
      </c>
    </row>
    <row r="32" spans="1:12">
      <c r="A32" t="s">
        <v>107</v>
      </c>
      <c r="B32" t="s">
        <v>32</v>
      </c>
      <c r="C32">
        <v>780580.95</v>
      </c>
      <c r="D32">
        <v>31997.25</v>
      </c>
      <c r="E32">
        <v>8183</v>
      </c>
      <c r="F32">
        <v>93</v>
      </c>
      <c r="G32">
        <v>4.2</v>
      </c>
      <c r="H32">
        <v>0</v>
      </c>
      <c r="I32">
        <v>0</v>
      </c>
      <c r="J32">
        <v>0</v>
      </c>
      <c r="K32">
        <f>89288.89034
+1.202449548*D32
+33.98426571*E32
+2887.042076*F32
+11104.99019*G32
-8661.454863*H32
+13316.40767*I32
+8380.768503*J32</f>
        <v>720993.08731067297</v>
      </c>
      <c r="L32">
        <f>C32-K32</f>
        <v>59587.862689326983</v>
      </c>
    </row>
    <row r="33" spans="1:12">
      <c r="A33" t="s">
        <v>47</v>
      </c>
      <c r="B33" t="s">
        <v>9</v>
      </c>
      <c r="C33">
        <v>749559.71</v>
      </c>
      <c r="D33">
        <v>74907.98</v>
      </c>
      <c r="E33">
        <v>5306</v>
      </c>
      <c r="F33">
        <v>95.6</v>
      </c>
      <c r="G33">
        <v>3.7</v>
      </c>
      <c r="H33">
        <v>0</v>
      </c>
      <c r="I33">
        <v>1</v>
      </c>
      <c r="J33">
        <v>0</v>
      </c>
      <c r="K33">
        <f>89288.89034
+1.202449548*D33
+33.98426571*E33
+2887.042076*F33
+11104.99019*G33
-8661.454863*H33
+13316.40767*I33
+8380.768503*J33</f>
        <v>690088.56472845306</v>
      </c>
      <c r="L33">
        <f>C33-K33</f>
        <v>59471.145271546906</v>
      </c>
    </row>
    <row r="34" spans="1:12">
      <c r="A34" t="s">
        <v>86</v>
      </c>
      <c r="B34" t="s">
        <v>32</v>
      </c>
      <c r="C34">
        <v>673348.56</v>
      </c>
      <c r="D34">
        <v>58785.33</v>
      </c>
      <c r="E34">
        <v>4467</v>
      </c>
      <c r="F34">
        <v>90.7</v>
      </c>
      <c r="G34">
        <v>3.7</v>
      </c>
      <c r="H34">
        <v>0</v>
      </c>
      <c r="I34">
        <v>0</v>
      </c>
      <c r="J34">
        <v>0</v>
      </c>
      <c r="K34">
        <f>89288.89034
+1.202449548*D34
+33.98426571*E34
+2887.042076*F34
+11104.99019*G34
-8661.454863*H34
+13316.40767*I34
+8380.768503*J34</f>
        <v>614726.1787503009</v>
      </c>
      <c r="L34">
        <f>C34-K34</f>
        <v>58622.38124969916</v>
      </c>
    </row>
    <row r="35" spans="1:12">
      <c r="A35" t="s">
        <v>89</v>
      </c>
      <c r="B35" t="s">
        <v>8</v>
      </c>
      <c r="C35">
        <v>870937.4</v>
      </c>
      <c r="D35">
        <v>113736</v>
      </c>
      <c r="E35">
        <v>8961</v>
      </c>
      <c r="F35">
        <v>86.2</v>
      </c>
      <c r="G35">
        <v>4</v>
      </c>
      <c r="H35">
        <v>1</v>
      </c>
      <c r="I35">
        <v>0</v>
      </c>
      <c r="J35">
        <v>0</v>
      </c>
      <c r="K35">
        <f>89288.89034
+1.202449548*D35
+33.98426571*E35
+2887.042076*F35
+11104.99019*G35
-8661.454863*H35
+13316.40767*I35
+8380.768503*J35</f>
        <v>815205.2300068381</v>
      </c>
      <c r="L35">
        <f>C35-K35</f>
        <v>55732.169993161922</v>
      </c>
    </row>
    <row r="36" spans="1:12">
      <c r="A36" t="s">
        <v>96</v>
      </c>
      <c r="B36" t="s">
        <v>9</v>
      </c>
      <c r="C36">
        <v>776110.32</v>
      </c>
      <c r="D36">
        <v>38397.82</v>
      </c>
      <c r="E36">
        <v>7836</v>
      </c>
      <c r="F36">
        <v>92.2</v>
      </c>
      <c r="G36">
        <v>3.6</v>
      </c>
      <c r="H36">
        <v>0</v>
      </c>
      <c r="I36">
        <v>1</v>
      </c>
      <c r="J36">
        <v>0</v>
      </c>
      <c r="K36">
        <f>89288.89034
+1.202449548*D36
+33.98426571*E36
+2887.042076*F36
+11104.99019*G36
-8661.454863*H36
+13316.40767*I36
+8380.768503*J36</f>
        <v>721240.68950794532</v>
      </c>
      <c r="L36">
        <f>C36-K36</f>
        <v>54869.630492054624</v>
      </c>
    </row>
    <row r="37" spans="1:12">
      <c r="A37" t="s">
        <v>57</v>
      </c>
      <c r="B37" t="s">
        <v>8</v>
      </c>
      <c r="C37">
        <v>635181.35</v>
      </c>
      <c r="D37">
        <v>53084.76</v>
      </c>
      <c r="E37">
        <v>3642</v>
      </c>
      <c r="F37">
        <v>91.4</v>
      </c>
      <c r="G37">
        <v>4.4000000000000004</v>
      </c>
      <c r="H37">
        <v>1</v>
      </c>
      <c r="I37">
        <v>0</v>
      </c>
      <c r="J37">
        <v>0</v>
      </c>
      <c r="K37">
        <f>89288.89034
+1.202449548*D37
+33.98426571*E37
+2887.042076*F37
+11104.99019*G37
-8661.454863*H37
+13316.40767*I37
+8380.768503*J37</f>
        <v>580967.47944290855</v>
      </c>
      <c r="L37">
        <f>C37-K37</f>
        <v>54213.870557091432</v>
      </c>
    </row>
    <row r="38" spans="1:12">
      <c r="A38" t="s">
        <v>41</v>
      </c>
      <c r="B38" t="s">
        <v>32</v>
      </c>
      <c r="C38">
        <v>820593.93</v>
      </c>
      <c r="D38">
        <v>75269.87</v>
      </c>
      <c r="E38">
        <v>8838</v>
      </c>
      <c r="F38">
        <v>83.1</v>
      </c>
      <c r="G38">
        <v>4.2</v>
      </c>
      <c r="H38">
        <v>0</v>
      </c>
      <c r="I38">
        <v>0</v>
      </c>
      <c r="J38">
        <v>0</v>
      </c>
      <c r="K38">
        <f>89288.89034
+1.202449548*D38
+33.98426571*E38
+2887.042076*F38
+11104.99019*G38
-8661.454863*H38
+13316.40767*I38
+8380.768503*J38</f>
        <v>766704.20715809881</v>
      </c>
      <c r="L38">
        <f>C38-K38</f>
        <v>53889.722841901239</v>
      </c>
    </row>
    <row r="39" spans="1:12">
      <c r="A39" t="s">
        <v>66</v>
      </c>
      <c r="B39" t="s">
        <v>9</v>
      </c>
      <c r="C39">
        <v>758827.64</v>
      </c>
      <c r="D39">
        <v>69779</v>
      </c>
      <c r="E39">
        <v>6544</v>
      </c>
      <c r="F39">
        <v>90.2</v>
      </c>
      <c r="G39">
        <v>3.3</v>
      </c>
      <c r="H39">
        <v>0</v>
      </c>
      <c r="I39">
        <v>1</v>
      </c>
      <c r="J39">
        <v>0</v>
      </c>
      <c r="K39">
        <f>89288.89034
+1.202449548*D39
+33.98426571*E39
+2887.042076*F39
+11104.99019*G39
-8661.454863*H39
+13316.40767*I39
+8380.768503*J39</f>
        <v>705961.722708332</v>
      </c>
      <c r="L39">
        <f>C39-K39</f>
        <v>52865.917291668011</v>
      </c>
    </row>
    <row r="40" spans="1:12">
      <c r="A40" t="s">
        <v>52</v>
      </c>
      <c r="B40" t="s">
        <v>10</v>
      </c>
      <c r="C40">
        <v>682208.01</v>
      </c>
      <c r="D40">
        <v>60628.38</v>
      </c>
      <c r="E40">
        <v>4451</v>
      </c>
      <c r="F40">
        <v>89.6</v>
      </c>
      <c r="G40">
        <v>4.5999999999999996</v>
      </c>
      <c r="H40">
        <v>0</v>
      </c>
      <c r="I40">
        <v>0</v>
      </c>
      <c r="J40">
        <v>1</v>
      </c>
      <c r="K40">
        <f>89288.89034
+1.202449548*D40
+33.98426571*E40
+2887.042076*F40
+11104.99019*G40
-8661.454863*H40
+13316.40767*I40
+8380.768503*J40</f>
        <v>631598.11852878239</v>
      </c>
      <c r="L40">
        <f>C40-K40</f>
        <v>50609.891471217619</v>
      </c>
    </row>
    <row r="41" spans="1:12">
      <c r="A41" t="s">
        <v>49</v>
      </c>
      <c r="B41" t="s">
        <v>8</v>
      </c>
      <c r="C41">
        <v>674774.09</v>
      </c>
      <c r="D41">
        <v>55081.16</v>
      </c>
      <c r="E41">
        <v>5485</v>
      </c>
      <c r="F41">
        <v>88</v>
      </c>
      <c r="G41">
        <v>3.5</v>
      </c>
      <c r="H41">
        <v>1</v>
      </c>
      <c r="I41">
        <v>0</v>
      </c>
      <c r="J41">
        <v>0</v>
      </c>
      <c r="K41">
        <f>89288.89034
+1.202449548*D41
+33.98426571*E41
+2887.042076*F41
+11104.99019*G41
-8661.454863*H41
+13316.40767*I41
+8380.768503*J41</f>
        <v>626190.61719466583</v>
      </c>
      <c r="L41">
        <f>C41-K41</f>
        <v>48583.472805334139</v>
      </c>
    </row>
    <row r="42" spans="1:12">
      <c r="A42" t="s">
        <v>60</v>
      </c>
      <c r="B42" t="s">
        <v>10</v>
      </c>
      <c r="C42">
        <v>778397.97</v>
      </c>
      <c r="D42">
        <v>61426.04</v>
      </c>
      <c r="E42">
        <v>8966</v>
      </c>
      <c r="F42">
        <v>76.400000000000006</v>
      </c>
      <c r="G42">
        <v>3.1</v>
      </c>
      <c r="H42">
        <v>0</v>
      </c>
      <c r="I42">
        <v>0</v>
      </c>
      <c r="J42">
        <v>1</v>
      </c>
      <c r="K42">
        <f>89288.89034
+1.202449548*D42
+33.98426571*E42
+2887.042076*F42
+11104.99019*G42
-8661.454863*H42
+13316.40767*I42
+8380.768503*J42</f>
        <v>731229.78342769004</v>
      </c>
      <c r="L42">
        <f>C42-K42</f>
        <v>47168.186572309933</v>
      </c>
    </row>
    <row r="43" spans="1:12">
      <c r="A43" t="s">
        <v>98</v>
      </c>
      <c r="B43" t="s">
        <v>8</v>
      </c>
      <c r="C43">
        <v>762328.31</v>
      </c>
      <c r="D43">
        <v>67722.289999999994</v>
      </c>
      <c r="E43">
        <v>7240</v>
      </c>
      <c r="F43">
        <v>92.9</v>
      </c>
      <c r="G43">
        <v>3.5</v>
      </c>
      <c r="H43">
        <v>1</v>
      </c>
      <c r="I43">
        <v>0</v>
      </c>
      <c r="J43">
        <v>0</v>
      </c>
      <c r="K43">
        <f>89288.89034
+1.202449548*D43
+33.98426571*E43
+2887.042076*F43
+11104.99019*G43
-8661.454863*H43
+13316.40767*I43
+8380.768503*J43</f>
        <v>715179.83074282494</v>
      </c>
      <c r="L43">
        <f>C43-K43</f>
        <v>47148.479257175117</v>
      </c>
    </row>
    <row r="44" spans="1:12">
      <c r="A44" t="s">
        <v>88</v>
      </c>
      <c r="B44" t="s">
        <v>8</v>
      </c>
      <c r="C44">
        <v>641564.6</v>
      </c>
      <c r="D44">
        <v>68212.289999999994</v>
      </c>
      <c r="E44">
        <v>4713</v>
      </c>
      <c r="F44">
        <v>82.6</v>
      </c>
      <c r="G44">
        <v>3</v>
      </c>
      <c r="H44">
        <v>1</v>
      </c>
      <c r="I44">
        <v>0</v>
      </c>
      <c r="J44">
        <v>0</v>
      </c>
      <c r="K44">
        <f>89288.89034
+1.202449548*D44
+33.98426571*E44
+2887.042076*F44
+11104.99019*G44
-8661.454863*H44
+13316.40767*I44
+8380.768503*J44</f>
        <v>594601.76309437491</v>
      </c>
      <c r="L44">
        <f>C44-K44</f>
        <v>46962.836905625067</v>
      </c>
    </row>
    <row r="45" spans="1:12">
      <c r="A45" t="s">
        <v>55</v>
      </c>
      <c r="B45" t="s">
        <v>10</v>
      </c>
      <c r="C45">
        <v>838250.32</v>
      </c>
      <c r="D45">
        <v>86421.88</v>
      </c>
      <c r="E45">
        <v>7970</v>
      </c>
      <c r="F45">
        <v>91.3</v>
      </c>
      <c r="G45">
        <v>5</v>
      </c>
      <c r="H45">
        <v>0</v>
      </c>
      <c r="I45">
        <v>0</v>
      </c>
      <c r="J45">
        <v>1</v>
      </c>
      <c r="K45">
        <f>89288.89034
+1.202449548*D45
+33.98426571*E45
+2887.042076*F45
+11104.99019*G45
-8661.454863*H45
+13316.40767*I45
+8380.768503*J45</f>
        <v>791554.0995838102</v>
      </c>
      <c r="L45">
        <f>C45-K45</f>
        <v>46696.220416189753</v>
      </c>
    </row>
    <row r="46" spans="1:12">
      <c r="A46" t="s">
        <v>59</v>
      </c>
      <c r="B46" t="s">
        <v>8</v>
      </c>
      <c r="C46">
        <v>709478.39</v>
      </c>
      <c r="D46">
        <v>75265.02</v>
      </c>
      <c r="E46">
        <v>6975</v>
      </c>
      <c r="F46">
        <v>73.8</v>
      </c>
      <c r="G46">
        <v>3.8</v>
      </c>
      <c r="H46">
        <v>1</v>
      </c>
      <c r="I46">
        <v>0</v>
      </c>
      <c r="J46">
        <v>0</v>
      </c>
      <c r="K46">
        <f>89288.89034
+1.202449548*D46
+33.98426571*E46
+2887.042076*F46
+11104.99019*G46
-8661.454863*H46
+13316.40767*I46
+8380.768503*J46</f>
        <v>663432.74601426104</v>
      </c>
      <c r="L46">
        <f>C46-K46</f>
        <v>46045.643985738978</v>
      </c>
    </row>
    <row r="47" spans="1:12">
      <c r="A47" t="s">
        <v>51</v>
      </c>
      <c r="B47" t="s">
        <v>9</v>
      </c>
      <c r="C47">
        <v>776922.17</v>
      </c>
      <c r="D47">
        <v>80562.81</v>
      </c>
      <c r="E47">
        <v>7470</v>
      </c>
      <c r="F47">
        <v>83.5</v>
      </c>
      <c r="G47">
        <v>3.3</v>
      </c>
      <c r="H47">
        <v>0</v>
      </c>
      <c r="I47">
        <v>1</v>
      </c>
      <c r="J47">
        <v>0</v>
      </c>
      <c r="K47">
        <f>89288.89034
+1.202449548*D47
+33.98426571*E47
+2887.042076*F47
+11104.99019*G47
-8661.454863*H47
+13316.40767*I47
+8380.768503*J47</f>
        <v>731054.95830680989</v>
      </c>
      <c r="L47">
        <f>C47-K47</f>
        <v>45867.211693190155</v>
      </c>
    </row>
    <row r="48" spans="1:12">
      <c r="A48" t="s">
        <v>73</v>
      </c>
      <c r="B48" t="s">
        <v>32</v>
      </c>
      <c r="C48">
        <v>825797.91</v>
      </c>
      <c r="D48">
        <v>72150.53</v>
      </c>
      <c r="E48">
        <v>9323</v>
      </c>
      <c r="F48">
        <v>82.9</v>
      </c>
      <c r="G48">
        <v>4.3</v>
      </c>
      <c r="H48">
        <v>0</v>
      </c>
      <c r="I48">
        <v>0</v>
      </c>
      <c r="J48">
        <v>0</v>
      </c>
      <c r="K48">
        <f>89288.89034
+1.202449548*D48
+33.98426571*E48
+2887.042076*F48
+11104.99019*G48
-8661.454863*H48
+13316.40767*I48
+8380.768503*J48</f>
        <v>779968.8176581905</v>
      </c>
      <c r="L48">
        <f>C48-K48</f>
        <v>45829.092341809534</v>
      </c>
    </row>
    <row r="49" spans="1:12">
      <c r="A49" t="s">
        <v>60</v>
      </c>
      <c r="B49" t="s">
        <v>10</v>
      </c>
      <c r="C49">
        <v>873380.02</v>
      </c>
      <c r="D49">
        <v>80176.34</v>
      </c>
      <c r="E49">
        <v>9489</v>
      </c>
      <c r="F49">
        <v>94.3</v>
      </c>
      <c r="G49">
        <v>3.5</v>
      </c>
      <c r="H49">
        <v>0</v>
      </c>
      <c r="I49">
        <v>0</v>
      </c>
      <c r="J49">
        <v>1</v>
      </c>
      <c r="K49">
        <f>89288.89034
+1.202449548*D49
+33.98426571*E49
+2887.042076*F49
+11104.99019*G49
-8661.454863*H49
+13316.40767*I49
+8380.768503*J49</f>
        <v>827669.89339028439</v>
      </c>
      <c r="L49">
        <f>C49-K49</f>
        <v>45710.126609715633</v>
      </c>
    </row>
    <row r="50" spans="1:12">
      <c r="A50" t="s">
        <v>79</v>
      </c>
      <c r="B50" t="s">
        <v>8</v>
      </c>
      <c r="C50">
        <v>625993.82999999996</v>
      </c>
      <c r="D50">
        <v>71641.899999999994</v>
      </c>
      <c r="E50">
        <v>3506</v>
      </c>
      <c r="F50">
        <v>86.4</v>
      </c>
      <c r="G50">
        <v>4.0999999999999996</v>
      </c>
      <c r="H50">
        <v>1</v>
      </c>
      <c r="I50">
        <v>0</v>
      </c>
      <c r="J50">
        <v>0</v>
      </c>
      <c r="K50">
        <f>89288.89034
+1.202449548*D50
+33.98426571*E50
+2887.042076*F50
+11104.99019*G50
-8661.454863*H50
+13316.40767*I50
+8380.768503*J50</f>
        <v>580892.9364745213</v>
      </c>
      <c r="L50">
        <f>C50-K50</f>
        <v>45100.893525478663</v>
      </c>
    </row>
    <row r="51" spans="1:12">
      <c r="A51" t="s">
        <v>47</v>
      </c>
      <c r="B51" t="s">
        <v>9</v>
      </c>
      <c r="C51">
        <v>615966.48</v>
      </c>
      <c r="D51">
        <v>37284.660000000003</v>
      </c>
      <c r="E51">
        <v>3928</v>
      </c>
      <c r="F51">
        <v>86.5</v>
      </c>
      <c r="G51">
        <v>3.8</v>
      </c>
      <c r="H51">
        <v>0</v>
      </c>
      <c r="I51">
        <v>1</v>
      </c>
      <c r="J51">
        <v>0</v>
      </c>
      <c r="K51">
        <f>89288.89034
+1.202449548*D51
+33.98426571*E51
+2887.042076*F51
+11104.99019*G51
-8661.454863*H51
+13316.40767*I51
+8380.768503*J51</f>
        <v>572856.51857921365</v>
      </c>
      <c r="L51">
        <f>C51-K51</f>
        <v>43109.961420786334</v>
      </c>
    </row>
    <row r="52" spans="1:12">
      <c r="A52" t="s">
        <v>86</v>
      </c>
      <c r="B52" t="s">
        <v>32</v>
      </c>
      <c r="C52">
        <v>674289.1</v>
      </c>
      <c r="D52">
        <v>69180.539999999994</v>
      </c>
      <c r="E52">
        <v>5394</v>
      </c>
      <c r="F52">
        <v>82.9</v>
      </c>
      <c r="G52">
        <v>3.3</v>
      </c>
      <c r="H52">
        <v>0</v>
      </c>
      <c r="I52">
        <v>0</v>
      </c>
      <c r="J52">
        <v>0</v>
      </c>
      <c r="K52">
        <f>89288.89034
+1.202449548*D52
+33.98426571*E52
+2887.042076*F52
+11104.99019*G52
-8661.454863*H52
+13316.40767*I52
+8380.768503*J52</f>
        <v>631768.38436053589</v>
      </c>
      <c r="L52">
        <f>C52-K52</f>
        <v>42520.715639464092</v>
      </c>
    </row>
    <row r="53" spans="1:12">
      <c r="A53" t="s">
        <v>67</v>
      </c>
      <c r="B53" t="s">
        <v>10</v>
      </c>
      <c r="C53">
        <v>682639.28</v>
      </c>
      <c r="D53">
        <v>44034.6</v>
      </c>
      <c r="E53">
        <v>5645</v>
      </c>
      <c r="F53">
        <v>88.5</v>
      </c>
      <c r="G53">
        <v>3.8</v>
      </c>
      <c r="H53">
        <v>0</v>
      </c>
      <c r="I53">
        <v>0</v>
      </c>
      <c r="J53">
        <v>1</v>
      </c>
      <c r="K53">
        <f>89288.89034
+1.202449548*D53
+33.98426571*E53
+2887.042076*F53
+11104.99019*G53
-8661.454863*H53
+13316.40767*I53
+8380.768503*J53</f>
        <v>640162.41009031085</v>
      </c>
      <c r="L53">
        <f>C53-K53</f>
        <v>42476.86990968918</v>
      </c>
    </row>
    <row r="54" spans="1:12">
      <c r="A54" t="s">
        <v>47</v>
      </c>
      <c r="B54" t="s">
        <v>9</v>
      </c>
      <c r="C54">
        <v>761860.19</v>
      </c>
      <c r="D54">
        <v>74954.47</v>
      </c>
      <c r="E54">
        <v>6620</v>
      </c>
      <c r="F54">
        <v>91.1</v>
      </c>
      <c r="G54">
        <v>3.5</v>
      </c>
      <c r="H54">
        <v>0</v>
      </c>
      <c r="I54">
        <v>1</v>
      </c>
      <c r="J54">
        <v>0</v>
      </c>
      <c r="K54">
        <f>89288.89034
+1.202449548*D54
+33.98426571*E54
+2887.042076*F54
+11104.99019*G54
-8661.454863*H54
+13316.40767*I54
+8380.768503*J54</f>
        <v>719587.10437087959</v>
      </c>
      <c r="L54">
        <f>C54-K54</f>
        <v>42273.085629120353</v>
      </c>
    </row>
    <row r="55" spans="1:12">
      <c r="A55" t="s">
        <v>55</v>
      </c>
      <c r="B55" t="s">
        <v>10</v>
      </c>
      <c r="C55">
        <v>753473.55</v>
      </c>
      <c r="D55">
        <v>67439.3</v>
      </c>
      <c r="E55">
        <v>6477</v>
      </c>
      <c r="F55">
        <v>90.9</v>
      </c>
      <c r="G55">
        <v>4.5</v>
      </c>
      <c r="H55">
        <v>0</v>
      </c>
      <c r="I55">
        <v>0</v>
      </c>
      <c r="J55">
        <v>1</v>
      </c>
      <c r="K55">
        <f>89288.89034
+1.202449548*D55
+33.98426571*E55
+2887.042076*F55
+11104.99019*G55
-8661.454863*H55
+13316.40767*I55
+8380.768503*J55</f>
        <v>711282.6842125064</v>
      </c>
      <c r="L55">
        <f>C55-K55</f>
        <v>42190.865787493647</v>
      </c>
    </row>
    <row r="56" spans="1:12">
      <c r="A56" t="s">
        <v>81</v>
      </c>
      <c r="B56" t="s">
        <v>32</v>
      </c>
      <c r="C56">
        <v>691447.43</v>
      </c>
      <c r="D56">
        <v>71851.45</v>
      </c>
      <c r="E56">
        <v>4970</v>
      </c>
      <c r="F56">
        <v>89.6</v>
      </c>
      <c r="G56">
        <v>4.2</v>
      </c>
      <c r="H56">
        <v>0</v>
      </c>
      <c r="I56">
        <v>0</v>
      </c>
      <c r="J56">
        <v>0</v>
      </c>
      <c r="K56">
        <f>89288.89034
+1.202449548*D56
+33.98426571*E56
+2887.042076*F56
+11104.99019*G56
-8661.454863*H56
+13316.40767*I56
+8380.768503*J56</f>
        <v>649908.36330194457</v>
      </c>
      <c r="L56">
        <f>C56-K56</f>
        <v>41539.066698055482</v>
      </c>
    </row>
    <row r="57" spans="1:12">
      <c r="A57" t="s">
        <v>95</v>
      </c>
      <c r="B57" t="s">
        <v>9</v>
      </c>
      <c r="C57">
        <v>720079.54</v>
      </c>
      <c r="D57">
        <v>75412.740000000005</v>
      </c>
      <c r="E57">
        <v>5641</v>
      </c>
      <c r="F57">
        <v>87.9</v>
      </c>
      <c r="G57">
        <v>3.6</v>
      </c>
      <c r="H57">
        <v>0</v>
      </c>
      <c r="I57">
        <v>1</v>
      </c>
      <c r="J57">
        <v>0</v>
      </c>
      <c r="K57">
        <f>89288.89034
+1.202449548*D57
+33.98426571*E57
+2887.042076*F57
+11104.99019*G57
-8661.454863*H57
+13316.40767*I57
+8380.768503*J57</f>
        <v>678739.51917095156</v>
      </c>
      <c r="L57">
        <f>C57-K57</f>
        <v>41340.020829048473</v>
      </c>
    </row>
    <row r="58" spans="1:12">
      <c r="A58" t="s">
        <v>51</v>
      </c>
      <c r="B58" t="s">
        <v>9</v>
      </c>
      <c r="C58">
        <v>691112.6</v>
      </c>
      <c r="D58">
        <v>54872.82</v>
      </c>
      <c r="E58">
        <v>5962</v>
      </c>
      <c r="F58">
        <v>85.4</v>
      </c>
      <c r="G58">
        <v>2.9</v>
      </c>
      <c r="H58">
        <v>0</v>
      </c>
      <c r="I58">
        <v>1</v>
      </c>
      <c r="J58">
        <v>0</v>
      </c>
      <c r="K58">
        <f>89288.89034
+1.202449548*D58
+33.98426571*E58
+2887.042076*F58
+11104.99019*G58
-8661.454863*H58
+13316.40767*I58
+8380.768503*J58</f>
        <v>649959.15262090543</v>
      </c>
      <c r="L58">
        <f>C58-K58</f>
        <v>41153.447379094549</v>
      </c>
    </row>
    <row r="59" spans="1:12">
      <c r="A59" t="s">
        <v>100</v>
      </c>
      <c r="B59" t="s">
        <v>10</v>
      </c>
      <c r="C59">
        <v>561597.32999999996</v>
      </c>
      <c r="D59">
        <v>17562.57</v>
      </c>
      <c r="E59">
        <v>3326</v>
      </c>
      <c r="F59">
        <v>88.1</v>
      </c>
      <c r="G59">
        <v>3.1</v>
      </c>
      <c r="H59">
        <v>0</v>
      </c>
      <c r="I59">
        <v>0</v>
      </c>
      <c r="J59">
        <v>1</v>
      </c>
      <c r="K59">
        <f>89288.89034
+1.202449548*D59
+33.98426571*E59
+2887.042076*F59
+11104.99019*G59
-8661.454863*H59
+13316.40767*I59
+8380.768503*J59</f>
        <v>520593.30743727833</v>
      </c>
      <c r="L59">
        <f>C59-K59</f>
        <v>41004.022562721628</v>
      </c>
    </row>
    <row r="60" spans="1:12">
      <c r="A60" t="s">
        <v>62</v>
      </c>
      <c r="B60" t="s">
        <v>32</v>
      </c>
      <c r="C60">
        <v>654317.09</v>
      </c>
      <c r="D60">
        <v>83044.17</v>
      </c>
      <c r="E60">
        <v>3694</v>
      </c>
      <c r="F60">
        <v>89.4</v>
      </c>
      <c r="G60">
        <v>3.7</v>
      </c>
      <c r="H60">
        <v>0</v>
      </c>
      <c r="I60">
        <v>0</v>
      </c>
      <c r="J60">
        <v>0</v>
      </c>
      <c r="K60">
        <f>89288.89034
+1.202449548*D60
+33.98426571*E60
+2887.042076*F60
+11104.99019*G60
-8661.454863*H60
+13316.40767*I60
+8380.768503*J60</f>
        <v>613873.21785067511</v>
      </c>
      <c r="L60">
        <f>C60-K60</f>
        <v>40443.872149324859</v>
      </c>
    </row>
    <row r="61" spans="1:12">
      <c r="A61" t="s">
        <v>44</v>
      </c>
      <c r="B61" t="s">
        <v>32</v>
      </c>
      <c r="C61">
        <v>773815.14</v>
      </c>
      <c r="D61">
        <v>65312.49</v>
      </c>
      <c r="E61">
        <v>7189</v>
      </c>
      <c r="F61">
        <v>93.7</v>
      </c>
      <c r="G61">
        <v>4.5999999999999996</v>
      </c>
      <c r="H61">
        <v>0</v>
      </c>
      <c r="I61">
        <v>0</v>
      </c>
      <c r="J61">
        <v>0</v>
      </c>
      <c r="K61">
        <f>89288.89034
+1.202449548*D61
+33.98426571*E61
+2887.042076*F61
+11104.99019*G61
-8661.454863*H61
+13316.40767*I61
+8380.768503*J61</f>
        <v>733735.54800364468</v>
      </c>
      <c r="L61">
        <f>C61-K61</f>
        <v>40079.591996355332</v>
      </c>
    </row>
    <row r="62" spans="1:12">
      <c r="A62" t="s">
        <v>58</v>
      </c>
      <c r="B62" t="s">
        <v>10</v>
      </c>
      <c r="C62">
        <v>727227.2</v>
      </c>
      <c r="D62">
        <v>57919.07</v>
      </c>
      <c r="E62">
        <v>7374</v>
      </c>
      <c r="F62">
        <v>82.3</v>
      </c>
      <c r="G62">
        <v>2.9</v>
      </c>
      <c r="H62">
        <v>0</v>
      </c>
      <c r="I62">
        <v>0</v>
      </c>
      <c r="J62">
        <v>1</v>
      </c>
      <c r="K62">
        <f>89288.89034
+1.202449548*D62
+33.98426571*E62
+2887.042076*F62
+11104.99019*G62
-8661.454863*H62
+13316.40767*I62
+8380.768503*J62</f>
        <v>687722.42813642044</v>
      </c>
      <c r="L62">
        <f>C62-K62</f>
        <v>39504.771863579517</v>
      </c>
    </row>
    <row r="63" spans="1:12">
      <c r="A63" t="s">
        <v>76</v>
      </c>
      <c r="B63" t="s">
        <v>10</v>
      </c>
      <c r="C63">
        <v>781955.52</v>
      </c>
      <c r="D63">
        <v>40535.089999999997</v>
      </c>
      <c r="E63">
        <v>8870</v>
      </c>
      <c r="F63">
        <v>86.6</v>
      </c>
      <c r="G63">
        <v>4.0999999999999996</v>
      </c>
      <c r="H63">
        <v>0</v>
      </c>
      <c r="I63">
        <v>0</v>
      </c>
      <c r="J63">
        <v>1</v>
      </c>
      <c r="K63">
        <f>89288.89034
+1.202449548*D63
+33.98426571*E63
+2887.042076*F63
+11104.99019*G63
-8661.454863*H63
+13316.40767*I63
+8380.768503*J63</f>
        <v>743399.79989993945</v>
      </c>
      <c r="L63">
        <f>C63-K63</f>
        <v>38555.720100060571</v>
      </c>
    </row>
    <row r="64" spans="1:12">
      <c r="A64" t="s">
        <v>34</v>
      </c>
      <c r="B64" t="s">
        <v>8</v>
      </c>
      <c r="C64">
        <v>922168.6</v>
      </c>
      <c r="D64">
        <v>71828.259999999995</v>
      </c>
      <c r="E64">
        <v>12775</v>
      </c>
      <c r="F64">
        <v>81.7</v>
      </c>
      <c r="G64">
        <v>4.2</v>
      </c>
      <c r="H64">
        <v>1</v>
      </c>
      <c r="I64">
        <v>0</v>
      </c>
      <c r="J64">
        <v>0</v>
      </c>
      <c r="K64">
        <f>89288.89034
+1.202449548*D64
+33.98426571*E64
+2887.042076*F64
+11104.99019*G64
-8661.454863*H64
+13316.40767*I64
+8380.768503*J64</f>
        <v>883658.58510007651</v>
      </c>
      <c r="L64">
        <f>C64-K64</f>
        <v>38510.014899923466</v>
      </c>
    </row>
    <row r="65" spans="1:12">
      <c r="A65" t="s">
        <v>57</v>
      </c>
      <c r="B65" t="s">
        <v>8</v>
      </c>
      <c r="C65">
        <v>740102.64</v>
      </c>
      <c r="D65">
        <v>90084.4</v>
      </c>
      <c r="E65">
        <v>6832</v>
      </c>
      <c r="F65">
        <v>80.5</v>
      </c>
      <c r="G65">
        <v>4.4000000000000004</v>
      </c>
      <c r="H65">
        <v>1</v>
      </c>
      <c r="I65">
        <v>0</v>
      </c>
      <c r="J65">
        <v>0</v>
      </c>
      <c r="K65">
        <f>89288.89034
+1.202449548*D65
+33.98426571*E65
+2887.042076*F65
+11104.99019*G65
-8661.454863*H65
+13316.40767*I65
+8380.768503*J65</f>
        <v>702398.72882357112</v>
      </c>
      <c r="L65">
        <f>C65-K65</f>
        <v>37703.911176428897</v>
      </c>
    </row>
    <row r="66" spans="1:12">
      <c r="A66" t="s">
        <v>88</v>
      </c>
      <c r="B66" t="s">
        <v>8</v>
      </c>
      <c r="C66">
        <v>529598.93999999994</v>
      </c>
      <c r="D66">
        <v>39341.449999999997</v>
      </c>
      <c r="E66">
        <v>1375</v>
      </c>
      <c r="F66">
        <v>95</v>
      </c>
      <c r="G66">
        <v>3.9</v>
      </c>
      <c r="H66">
        <v>1</v>
      </c>
      <c r="I66">
        <v>0</v>
      </c>
      <c r="J66">
        <v>0</v>
      </c>
      <c r="K66">
        <f>89288.89034
+1.202449548*D66
+33.98426571*E66
+2887.042076*F66
+11104.99019*G66
-8661.454863*H66
+13316.40767*I66
+8380.768503*J66</f>
        <v>492240.36855941458</v>
      </c>
      <c r="L66">
        <f>C66-K66</f>
        <v>37358.571440585365</v>
      </c>
    </row>
    <row r="67" spans="1:12">
      <c r="A67" t="s">
        <v>92</v>
      </c>
      <c r="B67" t="s">
        <v>9</v>
      </c>
      <c r="C67">
        <v>776992.93</v>
      </c>
      <c r="D67">
        <v>69900.12</v>
      </c>
      <c r="E67">
        <v>8055</v>
      </c>
      <c r="F67">
        <v>85.6</v>
      </c>
      <c r="G67">
        <v>2.9</v>
      </c>
      <c r="H67">
        <v>0</v>
      </c>
      <c r="I67">
        <v>1</v>
      </c>
      <c r="J67">
        <v>0</v>
      </c>
      <c r="K67">
        <f>89288.89034
+1.202449548*D67
+33.98426571*E67
+2887.042076*F67
+11104.99019*G67
-8661.454863*H67
+13316.40767*I67
+8380.768503*J67</f>
        <v>739735.19925979571</v>
      </c>
      <c r="L67">
        <f>C67-K67</f>
        <v>37257.730740204337</v>
      </c>
    </row>
    <row r="68" spans="1:12">
      <c r="A68" t="s">
        <v>63</v>
      </c>
      <c r="B68" t="s">
        <v>9</v>
      </c>
      <c r="C68">
        <v>842157.92</v>
      </c>
      <c r="D68">
        <v>56517.9</v>
      </c>
      <c r="E68">
        <v>9574</v>
      </c>
      <c r="F68">
        <v>88.2</v>
      </c>
      <c r="G68">
        <v>4.9000000000000004</v>
      </c>
      <c r="H68">
        <v>0</v>
      </c>
      <c r="I68">
        <v>1</v>
      </c>
      <c r="J68">
        <v>0</v>
      </c>
      <c r="K68">
        <f>89288.89034
+1.202449548*D68
+33.98426571*E68
+2887.042076*F68
+11104.99019*G68
-8661.454863*H68
+13316.40767*I68
+8380.768503*J68</f>
        <v>804982.14426064922</v>
      </c>
      <c r="L68">
        <f>C68-K68</f>
        <v>37175.775739350822</v>
      </c>
    </row>
    <row r="69" spans="1:12">
      <c r="A69" t="s">
        <v>45</v>
      </c>
      <c r="B69" t="s">
        <v>10</v>
      </c>
      <c r="C69">
        <v>720852.5</v>
      </c>
      <c r="D69">
        <v>81195.5</v>
      </c>
      <c r="E69">
        <v>5516</v>
      </c>
      <c r="F69">
        <v>88</v>
      </c>
      <c r="G69">
        <v>4.3</v>
      </c>
      <c r="H69">
        <v>0</v>
      </c>
      <c r="I69">
        <v>0</v>
      </c>
      <c r="J69">
        <v>1</v>
      </c>
      <c r="K69">
        <f>89288.89034
+1.202449548*D69
+33.98426571*E69
+2887.042076*F69
+11104.99019*G69
-8661.454863*H69
+13316.40767*I69
+8380.768503*J69</f>
        <v>684571.52127899404</v>
      </c>
      <c r="L69">
        <f>C69-K69</f>
        <v>36280.978721005959</v>
      </c>
    </row>
    <row r="70" spans="1:12">
      <c r="A70" t="s">
        <v>67</v>
      </c>
      <c r="B70" t="s">
        <v>10</v>
      </c>
      <c r="C70">
        <v>715890.53</v>
      </c>
      <c r="D70">
        <v>51430.31</v>
      </c>
      <c r="E70">
        <v>6427</v>
      </c>
      <c r="F70">
        <v>88.8</v>
      </c>
      <c r="G70">
        <v>4.0999999999999996</v>
      </c>
      <c r="H70">
        <v>0</v>
      </c>
      <c r="I70">
        <v>0</v>
      </c>
      <c r="J70">
        <v>1</v>
      </c>
      <c r="K70">
        <f>89288.89034
+1.202449548*D70
+33.98426571*E70
+2887.042076*F70
+11104.99019*G70
-8661.454863*H70
+13316.40767*I70
+8380.768503*J70</f>
        <v>679828.68370196992</v>
      </c>
      <c r="L70">
        <f>C70-K70</f>
        <v>36061.846298030112</v>
      </c>
    </row>
    <row r="71" spans="1:12">
      <c r="A71" t="s">
        <v>90</v>
      </c>
      <c r="B71" t="s">
        <v>10</v>
      </c>
      <c r="C71">
        <v>658072.14</v>
      </c>
      <c r="D71">
        <v>47241.919999999998</v>
      </c>
      <c r="E71">
        <v>4264</v>
      </c>
      <c r="F71">
        <v>95.3</v>
      </c>
      <c r="G71">
        <v>4.3</v>
      </c>
      <c r="H71">
        <v>0</v>
      </c>
      <c r="I71">
        <v>0</v>
      </c>
      <c r="J71">
        <v>1</v>
      </c>
      <c r="K71">
        <f>89288.89034
+1.202449548*D71
+33.98426571*E71
+2887.042076*F71
+11104.99019*G71
-8661.454863*H71
+13316.40767*I71
+8380.768503*J71</f>
        <v>622271.16084089212</v>
      </c>
      <c r="L71">
        <f>C71-K71</f>
        <v>35800.979159107897</v>
      </c>
    </row>
    <row r="72" spans="1:12">
      <c r="A72" t="s">
        <v>98</v>
      </c>
      <c r="B72" t="s">
        <v>8</v>
      </c>
      <c r="C72">
        <v>767792.94</v>
      </c>
      <c r="D72">
        <v>73454.539999999994</v>
      </c>
      <c r="E72">
        <v>8129</v>
      </c>
      <c r="F72">
        <v>85.2</v>
      </c>
      <c r="G72">
        <v>3.7</v>
      </c>
      <c r="H72">
        <v>1</v>
      </c>
      <c r="I72">
        <v>0</v>
      </c>
      <c r="J72">
        <v>0</v>
      </c>
      <c r="K72">
        <f>89288.89034
+1.202449548*D72
+33.98426571*E72
+2887.042076*F72
+11104.99019*G72
-8661.454863*H72
+13316.40767*I72
+8380.768503*J72</f>
        <v>732275.358433338</v>
      </c>
      <c r="L72">
        <f>C72-K72</f>
        <v>35517.581566661946</v>
      </c>
    </row>
    <row r="73" spans="1:12">
      <c r="A73" t="s">
        <v>54</v>
      </c>
      <c r="B73" t="s">
        <v>9</v>
      </c>
      <c r="C73">
        <v>711213.46</v>
      </c>
      <c r="D73">
        <v>50517.94</v>
      </c>
      <c r="E73">
        <v>7024</v>
      </c>
      <c r="F73">
        <v>79.2</v>
      </c>
      <c r="G73">
        <v>4.0999999999999996</v>
      </c>
      <c r="H73">
        <v>0</v>
      </c>
      <c r="I73">
        <v>1</v>
      </c>
      <c r="J73">
        <v>0</v>
      </c>
      <c r="K73">
        <f>89288.89034
+1.202449548*D73
+33.98426571*E73
+2887.042076*F73
+11104.99019*G73
-8661.454863*H73
+13316.40767*I73
+8380.768503*J73</f>
        <v>676240.24667413114</v>
      </c>
      <c r="L73">
        <f>C73-K73</f>
        <v>34973.213325868826</v>
      </c>
    </row>
    <row r="74" spans="1:12">
      <c r="A74" t="s">
        <v>89</v>
      </c>
      <c r="B74" t="s">
        <v>8</v>
      </c>
      <c r="C74">
        <v>647512.85</v>
      </c>
      <c r="D74">
        <v>25818.080000000002</v>
      </c>
      <c r="E74">
        <v>5457</v>
      </c>
      <c r="F74">
        <v>95.4</v>
      </c>
      <c r="G74">
        <v>3.7</v>
      </c>
      <c r="H74">
        <v>1</v>
      </c>
      <c r="I74">
        <v>0</v>
      </c>
      <c r="J74">
        <v>0</v>
      </c>
      <c r="K74">
        <f>89288.89034
+1.202449548*D74
+33.98426571*E74
+2887.042076*F74
+11104.99019*G74
-8661.454863*H74
+13316.40767*I74
+8380.768503*J74</f>
        <v>613636.78983609797</v>
      </c>
      <c r="L74">
        <f>C74-K74</f>
        <v>33876.060163902002</v>
      </c>
    </row>
    <row r="75" spans="1:12">
      <c r="A75" t="s">
        <v>69</v>
      </c>
      <c r="B75" t="s">
        <v>9</v>
      </c>
      <c r="C75">
        <v>696744.15</v>
      </c>
      <c r="D75">
        <v>47093.55</v>
      </c>
      <c r="E75">
        <v>5550</v>
      </c>
      <c r="F75">
        <v>95</v>
      </c>
      <c r="G75">
        <v>3.7</v>
      </c>
      <c r="H75">
        <v>0</v>
      </c>
      <c r="I75">
        <v>1</v>
      </c>
      <c r="J75">
        <v>0</v>
      </c>
      <c r="K75">
        <f>89288.89034
+1.202449548*D75
+33.98426571*E75
+2887.042076*F75
+11104.99019*G75
-8661.454863*H75
+13316.40767*I75
+8380.768503*J75</f>
        <v>663203.05153471546</v>
      </c>
      <c r="L75">
        <f>C75-K75</f>
        <v>33541.098465284565</v>
      </c>
    </row>
    <row r="76" spans="1:12">
      <c r="A76" t="s">
        <v>108</v>
      </c>
      <c r="B76" t="s">
        <v>9</v>
      </c>
      <c r="C76">
        <v>665342.49</v>
      </c>
      <c r="D76">
        <v>22387.26</v>
      </c>
      <c r="E76">
        <v>6301</v>
      </c>
      <c r="F76">
        <v>85.9</v>
      </c>
      <c r="G76">
        <v>3.7</v>
      </c>
      <c r="H76">
        <v>0</v>
      </c>
      <c r="I76">
        <v>1</v>
      </c>
      <c r="J76">
        <v>0</v>
      </c>
      <c r="K76">
        <f>89288.89034
+1.202449548*D76
+33.98426571*E76
+2887.042076*F76
+11104.99019*G76
-8661.454863*H76
+13316.40767*I76
+8380.768503*J76</f>
        <v>632745.08494806848</v>
      </c>
      <c r="L76">
        <f>C76-K76</f>
        <v>32597.405051931506</v>
      </c>
    </row>
    <row r="77" spans="1:12">
      <c r="A77" t="s">
        <v>92</v>
      </c>
      <c r="B77" t="s">
        <v>9</v>
      </c>
      <c r="C77">
        <v>676337.41</v>
      </c>
      <c r="D77">
        <v>51781.599999999999</v>
      </c>
      <c r="E77">
        <v>5648</v>
      </c>
      <c r="F77">
        <v>85.5</v>
      </c>
      <c r="G77">
        <v>3.7</v>
      </c>
      <c r="H77">
        <v>0</v>
      </c>
      <c r="I77">
        <v>1</v>
      </c>
      <c r="J77">
        <v>0</v>
      </c>
      <c r="K77">
        <f>89288.89034
+1.202449548*D77
+33.98426571*E77
+2887.042076*F77
+11104.99019*G77
-8661.454863*H77
+13316.40767*I77
+8380.768503*J77</f>
        <v>644743.75345579686</v>
      </c>
      <c r="L77">
        <f>C77-K77</f>
        <v>31593.656544203172</v>
      </c>
    </row>
    <row r="78" spans="1:12">
      <c r="A78" t="s">
        <v>98</v>
      </c>
      <c r="B78" t="s">
        <v>8</v>
      </c>
      <c r="C78">
        <v>745580.51</v>
      </c>
      <c r="D78">
        <v>56602.39</v>
      </c>
      <c r="E78">
        <v>7969</v>
      </c>
      <c r="F78">
        <v>88.3</v>
      </c>
      <c r="G78">
        <v>3.7</v>
      </c>
      <c r="H78">
        <v>1</v>
      </c>
      <c r="I78">
        <v>0</v>
      </c>
      <c r="J78">
        <v>0</v>
      </c>
      <c r="K78">
        <f>89288.89034
+1.202449548*D78
+33.98426571*E78
+2887.042076*F78
+11104.99019*G78
-8661.454863*H78
+13316.40767*I78
+8380.768503*J78</f>
        <v>715523.84620500973</v>
      </c>
      <c r="L78">
        <f>C78-K78</f>
        <v>30056.66379499028</v>
      </c>
    </row>
    <row r="79" spans="1:12">
      <c r="A79" t="s">
        <v>43</v>
      </c>
      <c r="B79" t="s">
        <v>10</v>
      </c>
      <c r="C79">
        <v>614800.09</v>
      </c>
      <c r="D79">
        <v>50043.65</v>
      </c>
      <c r="E79">
        <v>3804</v>
      </c>
      <c r="F79">
        <v>90.9</v>
      </c>
      <c r="G79">
        <v>3.2</v>
      </c>
      <c r="H79">
        <v>0</v>
      </c>
      <c r="I79">
        <v>0</v>
      </c>
      <c r="J79">
        <v>1</v>
      </c>
      <c r="K79">
        <f>89288.89034
+1.202449548*D79
+33.98426571*E79
+2887.042076*F79
+11104.99019*G79
-8661.454863*H79
+13316.40767*I79
+8380.768503*J79</f>
        <v>585088.86324301024</v>
      </c>
      <c r="L79">
        <f>C79-K79</f>
        <v>29711.226756989723</v>
      </c>
    </row>
    <row r="80" spans="1:12">
      <c r="A80" t="s">
        <v>54</v>
      </c>
      <c r="B80" t="s">
        <v>9</v>
      </c>
      <c r="C80">
        <v>586307.22</v>
      </c>
      <c r="D80">
        <v>31207.51</v>
      </c>
      <c r="E80">
        <v>3701</v>
      </c>
      <c r="F80">
        <v>84.7</v>
      </c>
      <c r="G80">
        <v>4.3</v>
      </c>
      <c r="H80">
        <v>0</v>
      </c>
      <c r="I80">
        <v>1</v>
      </c>
      <c r="J80">
        <v>0</v>
      </c>
      <c r="K80">
        <f>89288.89034
+1.202449548*D80
+33.98426571*E80
+2887.042076*F80
+11104.99019*G80
-8661.454863*H80
+13316.40767*I80
+8380.768503*J80</f>
        <v>558190.44335061545</v>
      </c>
      <c r="L80">
        <f>C80-K80</f>
        <v>28116.776649384527</v>
      </c>
    </row>
    <row r="81" spans="1:12">
      <c r="A81" t="s">
        <v>85</v>
      </c>
      <c r="B81" t="s">
        <v>10</v>
      </c>
      <c r="C81">
        <v>804975.5</v>
      </c>
      <c r="D81">
        <v>41819.449999999997</v>
      </c>
      <c r="E81">
        <v>9412</v>
      </c>
      <c r="F81">
        <v>91</v>
      </c>
      <c r="G81">
        <v>4.2</v>
      </c>
      <c r="H81">
        <v>0</v>
      </c>
      <c r="I81">
        <v>0</v>
      </c>
      <c r="J81">
        <v>1</v>
      </c>
      <c r="K81">
        <f>89288.89034
+1.202449548*D81
+33.98426571*E81
+2887.042076*F81
+11104.99019*G81
-8661.454863*H81
+13316.40767*I81
+8380.768503*J81</f>
        <v>777177.13416962873</v>
      </c>
      <c r="L81">
        <f>C81-K81</f>
        <v>27798.365830371273</v>
      </c>
    </row>
    <row r="82" spans="1:12">
      <c r="A82" t="s">
        <v>93</v>
      </c>
      <c r="B82" t="s">
        <v>8</v>
      </c>
      <c r="C82">
        <v>802001.68</v>
      </c>
      <c r="D82">
        <v>76942.2</v>
      </c>
      <c r="E82">
        <v>8934</v>
      </c>
      <c r="F82">
        <v>91</v>
      </c>
      <c r="G82">
        <v>3.2</v>
      </c>
      <c r="H82">
        <v>1</v>
      </c>
      <c r="I82">
        <v>0</v>
      </c>
      <c r="J82">
        <v>0</v>
      </c>
      <c r="K82">
        <f>89288.89034
+1.202449548*D82
+33.98426571*E82
+2887.042076*F82
+11104.99019*G82
-8661.454863*H82
+13316.40767*I82
+8380.768503*J82</f>
        <v>775018.77646626567</v>
      </c>
      <c r="L82">
        <f>C82-K82</f>
        <v>26982.903533734381</v>
      </c>
    </row>
    <row r="83" spans="1:12">
      <c r="A83" t="s">
        <v>76</v>
      </c>
      <c r="B83" t="s">
        <v>10</v>
      </c>
      <c r="C83">
        <v>887537.75</v>
      </c>
      <c r="D83">
        <v>67494.09</v>
      </c>
      <c r="E83">
        <v>12361</v>
      </c>
      <c r="F83">
        <v>76.599999999999994</v>
      </c>
      <c r="G83">
        <v>3.7</v>
      </c>
      <c r="H83">
        <v>0</v>
      </c>
      <c r="I83">
        <v>0</v>
      </c>
      <c r="J83">
        <v>1</v>
      </c>
      <c r="K83">
        <f>89288.89034
+1.202449548*D83
+33.98426571*E83
+2887.042076*F83
+11104.99019*G83
-8661.454863*H83
+13316.40767*I83
+8380.768503*J83</f>
        <v>861143.29202208132</v>
      </c>
      <c r="L83">
        <f>C83-K83</f>
        <v>26394.457977918675</v>
      </c>
    </row>
    <row r="84" spans="1:12">
      <c r="A84" t="s">
        <v>74</v>
      </c>
      <c r="B84" t="s">
        <v>8</v>
      </c>
      <c r="C84">
        <v>769702.76</v>
      </c>
      <c r="D84">
        <v>50825.08</v>
      </c>
      <c r="E84">
        <v>8949</v>
      </c>
      <c r="F84">
        <v>84.7</v>
      </c>
      <c r="G84">
        <v>4.9000000000000004</v>
      </c>
      <c r="H84">
        <v>1</v>
      </c>
      <c r="I84">
        <v>0</v>
      </c>
      <c r="J84">
        <v>0</v>
      </c>
      <c r="K84">
        <f>89288.89034
+1.202449548*D84
+33.98426571*E84
+2887.042076*F84
+11104.99019*G84
-8661.454863*H84
+13316.40767*I84
+8380.768503*J84</f>
        <v>744814.1395570538</v>
      </c>
      <c r="L84">
        <f>C84-K84</f>
        <v>24888.620442946209</v>
      </c>
    </row>
    <row r="85" spans="1:12">
      <c r="A85" t="s">
        <v>104</v>
      </c>
      <c r="B85" t="s">
        <v>8</v>
      </c>
      <c r="C85">
        <v>729424.42</v>
      </c>
      <c r="D85">
        <v>70012.41</v>
      </c>
      <c r="E85">
        <v>8484</v>
      </c>
      <c r="F85">
        <v>72.900000000000006</v>
      </c>
      <c r="G85">
        <v>3.7</v>
      </c>
      <c r="H85">
        <v>1</v>
      </c>
      <c r="I85">
        <v>0</v>
      </c>
      <c r="J85">
        <v>0</v>
      </c>
      <c r="K85">
        <f>89288.89034
+1.202449548*D85
+33.98426571*E85
+2887.042076*F85
+11104.99019*G85
-8661.454863*H85
+13316.40767*I85
+8380.768503*J85</f>
        <v>704690.16756293073</v>
      </c>
      <c r="L85">
        <f>C85-K85</f>
        <v>24734.252437069314</v>
      </c>
    </row>
    <row r="86" spans="1:12">
      <c r="A86" t="s">
        <v>64</v>
      </c>
      <c r="B86" t="s">
        <v>8</v>
      </c>
      <c r="C86">
        <v>849018.3</v>
      </c>
      <c r="D86">
        <v>66250.53</v>
      </c>
      <c r="E86">
        <v>10618</v>
      </c>
      <c r="F86">
        <v>88.3</v>
      </c>
      <c r="G86">
        <v>4.4000000000000004</v>
      </c>
      <c r="H86">
        <v>1</v>
      </c>
      <c r="I86">
        <v>0</v>
      </c>
      <c r="J86">
        <v>0</v>
      </c>
      <c r="K86">
        <f>89288.89034
+1.202449548*D86
+33.98426571*E86
+2887.042076*F86
+11104.99019*G86
-8661.454863*H86
+13316.40767*I86
+8380.768503*J86</f>
        <v>824923.06078584038</v>
      </c>
      <c r="L86">
        <f>C86-K86</f>
        <v>24095.239214159665</v>
      </c>
    </row>
    <row r="87" spans="1:12">
      <c r="A87" t="s">
        <v>110</v>
      </c>
      <c r="B87" t="s">
        <v>32</v>
      </c>
      <c r="C87">
        <v>702052.47</v>
      </c>
      <c r="D87">
        <v>78967.520000000004</v>
      </c>
      <c r="E87">
        <v>6164</v>
      </c>
      <c r="F87">
        <v>85.5</v>
      </c>
      <c r="G87">
        <v>3.4</v>
      </c>
      <c r="H87">
        <v>0</v>
      </c>
      <c r="I87">
        <v>0</v>
      </c>
      <c r="J87">
        <v>0</v>
      </c>
      <c r="K87">
        <f>89288.89034
+1.202449548*D87
+33.98426571*E87
+2887.042076*F87
+11104.99019*G87
-8661.454863*H87
+13316.40767*I87
+8380.768503*J87</f>
        <v>678321.42705112102</v>
      </c>
      <c r="L87">
        <f>C87-K87</f>
        <v>23731.042948878952</v>
      </c>
    </row>
    <row r="88" spans="1:12">
      <c r="A88" t="s">
        <v>85</v>
      </c>
      <c r="B88" t="s">
        <v>10</v>
      </c>
      <c r="C88">
        <v>812152.6</v>
      </c>
      <c r="D88">
        <v>50887.46</v>
      </c>
      <c r="E88">
        <v>9505</v>
      </c>
      <c r="F88">
        <v>89.7</v>
      </c>
      <c r="G88">
        <v>4.3</v>
      </c>
      <c r="H88">
        <v>0</v>
      </c>
      <c r="I88">
        <v>0</v>
      </c>
      <c r="J88">
        <v>1</v>
      </c>
      <c r="K88">
        <f>89288.89034
+1.202449548*D88
+33.98426571*E88
+2887.042076*F88
+11104.99019*G88
-8661.454863*H88
+13316.40767*I88
+8380.768503*J88</f>
        <v>788598.83972661814</v>
      </c>
      <c r="L88">
        <f>C88-K88</f>
        <v>23553.760273381835</v>
      </c>
    </row>
    <row r="89" spans="1:12">
      <c r="A89" t="s">
        <v>88</v>
      </c>
      <c r="B89" t="s">
        <v>8</v>
      </c>
      <c r="C89">
        <v>536545.49</v>
      </c>
      <c r="D89">
        <v>57225.98</v>
      </c>
      <c r="E89">
        <v>2842</v>
      </c>
      <c r="F89">
        <v>79.5</v>
      </c>
      <c r="G89">
        <v>3.4</v>
      </c>
      <c r="H89">
        <v>1</v>
      </c>
      <c r="I89">
        <v>0</v>
      </c>
      <c r="J89">
        <v>0</v>
      </c>
      <c r="K89">
        <f>89288.89034
+1.202449548*D89
+33.98426571*E89
+2887.042076*F89
+11104.99019*G89
-8661.454863*H89
+13316.40767*I89
+8380.768503*J89</f>
        <v>513298.88409767702</v>
      </c>
      <c r="L89">
        <f>C89-K89</f>
        <v>23246.605902322975</v>
      </c>
    </row>
    <row r="90" spans="1:12">
      <c r="A90" t="s">
        <v>42</v>
      </c>
      <c r="B90" t="s">
        <v>8</v>
      </c>
      <c r="C90">
        <v>605178</v>
      </c>
      <c r="D90">
        <v>64882.14</v>
      </c>
      <c r="E90">
        <v>3642</v>
      </c>
      <c r="F90">
        <v>87.8</v>
      </c>
      <c r="G90">
        <v>4.2</v>
      </c>
      <c r="H90">
        <v>1</v>
      </c>
      <c r="I90">
        <v>0</v>
      </c>
      <c r="J90">
        <v>0</v>
      </c>
      <c r="K90">
        <f>89288.89034
+1.202449548*D90
+33.98426571*E90
+2887.042076*F90
+11104.99019*G90
-8661.454863*H90
+13316.40767*I90
+8380.768503*J90</f>
        <v>582538.88417989272</v>
      </c>
      <c r="L90">
        <f>C90-K90</f>
        <v>22639.115820107283</v>
      </c>
    </row>
    <row r="91" spans="1:12">
      <c r="A91" t="s">
        <v>49</v>
      </c>
      <c r="B91" t="s">
        <v>8</v>
      </c>
      <c r="C91">
        <v>605023.87</v>
      </c>
      <c r="D91">
        <v>60571.82</v>
      </c>
      <c r="E91">
        <v>3193</v>
      </c>
      <c r="F91">
        <v>99</v>
      </c>
      <c r="G91">
        <v>3.2</v>
      </c>
      <c r="H91">
        <v>1</v>
      </c>
      <c r="I91">
        <v>0</v>
      </c>
      <c r="J91">
        <v>0</v>
      </c>
      <c r="K91">
        <f>89288.89034
+1.202449548*D91
+33.98426571*E91
+2887.042076*F91
+11104.99019*G91
-8661.454863*H91
+13316.40767*I91
+8380.768503*J91</f>
        <v>583326.88760156732</v>
      </c>
      <c r="L91">
        <f>C91-K91</f>
        <v>21696.982398432679</v>
      </c>
    </row>
    <row r="92" spans="1:12">
      <c r="A92" t="s">
        <v>59</v>
      </c>
      <c r="B92" t="s">
        <v>8</v>
      </c>
      <c r="C92">
        <v>664162.49</v>
      </c>
      <c r="D92">
        <v>69411.7</v>
      </c>
      <c r="E92">
        <v>5493</v>
      </c>
      <c r="F92">
        <v>86.5</v>
      </c>
      <c r="G92">
        <v>3.8</v>
      </c>
      <c r="H92">
        <v>1</v>
      </c>
      <c r="I92">
        <v>0</v>
      </c>
      <c r="J92">
        <v>0</v>
      </c>
      <c r="K92">
        <f>89288.89034
+1.202449548*D92
+33.98426571*E92
+2887.042076*F92
+11104.99019*G92
-8661.454863*H92
+13316.40767*I92
+8380.768503*J92</f>
        <v>642695.17660894163</v>
      </c>
      <c r="L92">
        <f>C92-K92</f>
        <v>21467.313391058357</v>
      </c>
    </row>
    <row r="93" spans="1:12">
      <c r="A93" t="s">
        <v>44</v>
      </c>
      <c r="B93" t="s">
        <v>32</v>
      </c>
      <c r="C93">
        <v>625672.86</v>
      </c>
      <c r="D93">
        <v>48287.85</v>
      </c>
      <c r="E93">
        <v>5150</v>
      </c>
      <c r="F93">
        <v>80.400000000000006</v>
      </c>
      <c r="G93">
        <v>4.5</v>
      </c>
      <c r="H93">
        <v>0</v>
      </c>
      <c r="I93">
        <v>0</v>
      </c>
      <c r="J93">
        <v>0</v>
      </c>
      <c r="K93">
        <f>89288.89034
+1.202449548*D93
+33.98426571*E93
+2887.042076*F93
+11104.99019*G93
-8661.454863*H93
+13316.40767*I93
+8380.768503*J93</f>
        <v>604462.20091829181</v>
      </c>
      <c r="L93">
        <f>C93-K93</f>
        <v>21210.659081708174</v>
      </c>
    </row>
    <row r="94" spans="1:12">
      <c r="A94" t="s">
        <v>46</v>
      </c>
      <c r="B94" t="s">
        <v>8</v>
      </c>
      <c r="C94">
        <v>518049.26</v>
      </c>
      <c r="D94">
        <v>19365.060000000001</v>
      </c>
      <c r="E94">
        <v>2378</v>
      </c>
      <c r="F94">
        <v>94.8</v>
      </c>
      <c r="G94">
        <v>3.5</v>
      </c>
      <c r="H94">
        <v>1</v>
      </c>
      <c r="I94">
        <v>0</v>
      </c>
      <c r="J94">
        <v>0</v>
      </c>
      <c r="K94">
        <f>89288.89034
+1.202449548*D94
+33.98426571*E94
+2887.042076*F94
+11104.99019*G94
-8661.454863*H94
+13316.40767*I94
+8380.768503*J94</f>
        <v>497286.58144917287</v>
      </c>
      <c r="L94">
        <f>C94-K94</f>
        <v>20762.678550827142</v>
      </c>
    </row>
    <row r="95" spans="1:12">
      <c r="A95" t="s">
        <v>45</v>
      </c>
      <c r="B95" t="s">
        <v>10</v>
      </c>
      <c r="C95">
        <v>746677.75</v>
      </c>
      <c r="D95">
        <v>99874.01</v>
      </c>
      <c r="E95">
        <v>5887</v>
      </c>
      <c r="F95">
        <v>88.7</v>
      </c>
      <c r="G95">
        <v>4.7</v>
      </c>
      <c r="H95">
        <v>0</v>
      </c>
      <c r="I95">
        <v>0</v>
      </c>
      <c r="J95">
        <v>1</v>
      </c>
      <c r="K95">
        <f>89288.89034
+1.202449548*D95
+33.98426571*E95
+2887.042076*F95
+11104.99019*G95
-8661.454863*H95
+13316.40767*I95
+8380.768503*J95</f>
        <v>726102.57529341755</v>
      </c>
      <c r="L95">
        <f>C95-K95</f>
        <v>20575.174706582446</v>
      </c>
    </row>
    <row r="96" spans="1:12">
      <c r="A96" t="s">
        <v>42</v>
      </c>
      <c r="B96" t="s">
        <v>8</v>
      </c>
      <c r="C96">
        <v>532644.46</v>
      </c>
      <c r="D96">
        <v>46123.88</v>
      </c>
      <c r="E96">
        <v>3227</v>
      </c>
      <c r="F96">
        <v>75.400000000000006</v>
      </c>
      <c r="G96">
        <v>4.4000000000000004</v>
      </c>
      <c r="H96">
        <v>1</v>
      </c>
      <c r="I96">
        <v>0</v>
      </c>
      <c r="J96">
        <v>0</v>
      </c>
      <c r="K96">
        <f>89288.89034
+1.202449548*D96
+33.98426571*E96
+2887.042076*F96
+11104.99019*G96
-8661.454863*H96
+13316.40767*I96
+8380.768503*J96</f>
        <v>512301.22894757625</v>
      </c>
      <c r="L96">
        <f>C96-K96</f>
        <v>20343.231052423711</v>
      </c>
    </row>
    <row r="97" spans="1:12">
      <c r="A97" t="s">
        <v>34</v>
      </c>
      <c r="B97" t="s">
        <v>8</v>
      </c>
      <c r="C97">
        <v>834017.02</v>
      </c>
      <c r="D97">
        <v>75305.710000000006</v>
      </c>
      <c r="E97">
        <v>10940</v>
      </c>
      <c r="F97">
        <v>76.5</v>
      </c>
      <c r="G97">
        <v>4.5</v>
      </c>
      <c r="H97">
        <v>1</v>
      </c>
      <c r="I97">
        <v>0</v>
      </c>
      <c r="J97">
        <v>0</v>
      </c>
      <c r="K97">
        <f>89288.89034
+1.202449548*D97
+33.98426571*E97
+2887.042076*F97
+11104.99019*G97
-8661.454863*H97
+13316.40767*I97
+8380.768503*J97</f>
        <v>813797.79396471905</v>
      </c>
      <c r="L97">
        <f>C97-K97</f>
        <v>20219.226035280968</v>
      </c>
    </row>
    <row r="98" spans="1:12">
      <c r="A98" t="s">
        <v>56</v>
      </c>
      <c r="B98" t="s">
        <v>10</v>
      </c>
      <c r="C98">
        <v>675177.68</v>
      </c>
      <c r="D98">
        <v>55101.1</v>
      </c>
      <c r="E98">
        <v>5281</v>
      </c>
      <c r="F98">
        <v>91</v>
      </c>
      <c r="G98">
        <v>4.4000000000000004</v>
      </c>
      <c r="H98">
        <v>0</v>
      </c>
      <c r="I98">
        <v>0</v>
      </c>
      <c r="J98">
        <v>1</v>
      </c>
      <c r="K98">
        <f>89288.89034
+1.202449548*D98
+33.98426571*E98
+2887.042076*F98
+11104.99019*G98
-8661.454863*H98
+13316.40767*I98
+8380.768503*J98</f>
        <v>654979.64459881291</v>
      </c>
      <c r="L98">
        <f>C98-K98</f>
        <v>20198.035401187139</v>
      </c>
    </row>
    <row r="99" spans="1:12">
      <c r="A99" t="s">
        <v>108</v>
      </c>
      <c r="B99" t="s">
        <v>9</v>
      </c>
      <c r="C99">
        <v>727957.48</v>
      </c>
      <c r="D99">
        <v>54948.02</v>
      </c>
      <c r="E99">
        <v>6534</v>
      </c>
      <c r="F99">
        <v>94.5</v>
      </c>
      <c r="G99">
        <v>4</v>
      </c>
      <c r="H99">
        <v>0</v>
      </c>
      <c r="I99">
        <v>1</v>
      </c>
      <c r="J99">
        <v>0</v>
      </c>
      <c r="K99">
        <f>89288.89034
+1.202449548*D99
+33.98426571*E99
+2887.042076*F99
+11104.99019*G99
-8661.454863*H99
+13316.40767*I99
+8380.768503*J99</f>
        <v>707976.14891363506</v>
      </c>
      <c r="L99">
        <f>C99-K99</f>
        <v>19981.331086364924</v>
      </c>
    </row>
    <row r="100" spans="1:12">
      <c r="A100" t="s">
        <v>97</v>
      </c>
      <c r="B100" t="s">
        <v>10</v>
      </c>
      <c r="C100">
        <v>636613.23</v>
      </c>
      <c r="D100">
        <v>58688.26</v>
      </c>
      <c r="E100">
        <v>4022</v>
      </c>
      <c r="F100">
        <v>93.8</v>
      </c>
      <c r="G100">
        <v>3.7</v>
      </c>
      <c r="H100">
        <v>0</v>
      </c>
      <c r="I100">
        <v>0</v>
      </c>
      <c r="J100">
        <v>1</v>
      </c>
      <c r="K100">
        <f>89288.89034
+1.202449548*D100
+33.98426571*E100
+2887.042076*F100
+11104.99019*G100
-8661.454863*H100
+13316.40767*I100
+8380.768503*J100</f>
        <v>616817.05767032644</v>
      </c>
      <c r="L100">
        <f>C100-K100</f>
        <v>19796.172329673544</v>
      </c>
    </row>
    <row r="101" spans="1:12">
      <c r="A101" t="s">
        <v>101</v>
      </c>
      <c r="B101" t="s">
        <v>9</v>
      </c>
      <c r="C101">
        <v>738548.42</v>
      </c>
      <c r="D101">
        <v>36832.33</v>
      </c>
      <c r="E101">
        <v>8001</v>
      </c>
      <c r="F101">
        <v>88.7</v>
      </c>
      <c r="G101">
        <v>4</v>
      </c>
      <c r="H101">
        <v>0</v>
      </c>
      <c r="I101">
        <v>1</v>
      </c>
      <c r="J101">
        <v>0</v>
      </c>
      <c r="K101">
        <f>89288.89034
+1.202449548*D101
+33.98426571*E101
+2887.042076*F101
+11104.99019*G101
-8661.454863*H101
+13316.40767*I101
+8380.768503*J101</f>
        <v>719303.01941719686</v>
      </c>
      <c r="L101">
        <f>C101-K101</f>
        <v>19245.40058280318</v>
      </c>
    </row>
    <row r="102" spans="1:12">
      <c r="A102" t="s">
        <v>66</v>
      </c>
      <c r="B102" t="s">
        <v>9</v>
      </c>
      <c r="C102">
        <v>743348.84</v>
      </c>
      <c r="D102">
        <v>75109.67</v>
      </c>
      <c r="E102">
        <v>6244</v>
      </c>
      <c r="F102">
        <v>96.3</v>
      </c>
      <c r="G102">
        <v>3.7</v>
      </c>
      <c r="H102">
        <v>0</v>
      </c>
      <c r="I102">
        <v>1</v>
      </c>
      <c r="J102">
        <v>0</v>
      </c>
      <c r="K102">
        <f>89288.89034
+1.202449548*D102
+33.98426571*E102
+2887.042076*F102
+11104.99019*G102
-8661.454863*H102
+13316.40767*I102
+8380.768503*J102</f>
        <v>724229.2574669692</v>
      </c>
      <c r="L102">
        <f>C102-K102</f>
        <v>19119.582533030771</v>
      </c>
    </row>
    <row r="103" spans="1:12">
      <c r="A103" t="s">
        <v>79</v>
      </c>
      <c r="B103" t="s">
        <v>8</v>
      </c>
      <c r="C103">
        <v>550962.93000000005</v>
      </c>
      <c r="D103">
        <v>55788.61</v>
      </c>
      <c r="E103">
        <v>2312</v>
      </c>
      <c r="F103">
        <v>91.3</v>
      </c>
      <c r="G103">
        <v>3.8</v>
      </c>
      <c r="H103">
        <v>1</v>
      </c>
      <c r="I103">
        <v>0</v>
      </c>
      <c r="J103">
        <v>0</v>
      </c>
      <c r="K103">
        <f>89288.89034
+1.202449548*D103
+33.98426571*E103
+2887.042076*F103
+11104.99019*G103
-8661.454863*H103
+13316.40767*I103
+8380.768503*J103</f>
        <v>532067.95093736832</v>
      </c>
      <c r="L103">
        <f>C103-K103</f>
        <v>18894.979062631726</v>
      </c>
    </row>
    <row r="104" spans="1:12">
      <c r="A104" t="s">
        <v>52</v>
      </c>
      <c r="B104" t="s">
        <v>10</v>
      </c>
      <c r="C104">
        <v>569100.78</v>
      </c>
      <c r="D104">
        <v>36475.71</v>
      </c>
      <c r="E104">
        <v>3559</v>
      </c>
      <c r="F104">
        <v>83.6</v>
      </c>
      <c r="G104">
        <v>4.2</v>
      </c>
      <c r="H104">
        <v>0</v>
      </c>
      <c r="I104">
        <v>0</v>
      </c>
      <c r="J104">
        <v>1</v>
      </c>
      <c r="K104">
        <f>89288.89034
+1.202449548*D104
+33.98426571*E104
+2887.042076*F104
+11104.99019*G104
-8661.454863*H104
+13316.40767*I104
+8380.768503*J104</f>
        <v>550477.53785896907</v>
      </c>
      <c r="L104">
        <f>C104-K104</f>
        <v>18623.242141030962</v>
      </c>
    </row>
    <row r="105" spans="1:12">
      <c r="A105" t="s">
        <v>69</v>
      </c>
      <c r="B105" t="s">
        <v>9</v>
      </c>
      <c r="C105">
        <v>725847.99</v>
      </c>
      <c r="D105">
        <v>71855.09</v>
      </c>
      <c r="E105">
        <v>5911</v>
      </c>
      <c r="F105">
        <v>94.3</v>
      </c>
      <c r="G105">
        <v>4.0999999999999996</v>
      </c>
      <c r="H105">
        <v>0</v>
      </c>
      <c r="I105">
        <v>1</v>
      </c>
      <c r="J105">
        <v>0</v>
      </c>
      <c r="K105">
        <f>89288.89034
+1.202449548*D105
+33.98426571*E105
+2887.042076*F105
+11104.99019*G105
-8661.454863*H105
+13316.40767*I105
+8380.768503*J105</f>
        <v>707666.94065960939</v>
      </c>
      <c r="L105">
        <f>C105-K105</f>
        <v>18181.0493403906</v>
      </c>
    </row>
    <row r="106" spans="1:12">
      <c r="A106" t="s">
        <v>29</v>
      </c>
      <c r="B106" t="s">
        <v>8</v>
      </c>
      <c r="C106">
        <v>806615.54</v>
      </c>
      <c r="D106">
        <v>46213.45</v>
      </c>
      <c r="E106">
        <v>10616</v>
      </c>
      <c r="F106">
        <v>85.2</v>
      </c>
      <c r="G106">
        <v>4.0999999999999996</v>
      </c>
      <c r="H106">
        <v>1</v>
      </c>
      <c r="I106">
        <v>0</v>
      </c>
      <c r="J106">
        <v>0</v>
      </c>
      <c r="K106">
        <f>89288.89034
+1.202449548*D106
+33.98426571*E106
+2887.042076*F106
+11104.99019*G106
-8661.454863*H106
+13316.40767*I106
+8380.768503*J106</f>
        <v>788480.18697258073</v>
      </c>
      <c r="L106">
        <f>C106-K106</f>
        <v>18135.353027419304</v>
      </c>
    </row>
    <row r="107" spans="1:12">
      <c r="A107" t="s">
        <v>86</v>
      </c>
      <c r="B107" t="s">
        <v>32</v>
      </c>
      <c r="C107">
        <v>606278.30000000005</v>
      </c>
      <c r="D107">
        <v>16451.849999999999</v>
      </c>
      <c r="E107">
        <v>4678</v>
      </c>
      <c r="F107">
        <v>95.9</v>
      </c>
      <c r="G107">
        <v>3.9</v>
      </c>
      <c r="H107">
        <v>0</v>
      </c>
      <c r="I107">
        <v>0</v>
      </c>
      <c r="J107">
        <v>0</v>
      </c>
      <c r="K107">
        <f>89288.89034
+1.202449548*D107
+33.98426571*E107
+2887.042076*F107
+11104.99019*G107
-8661.454863*H107
+13316.40767*I107
+8380.768503*J107</f>
        <v>588226.60175704374</v>
      </c>
      <c r="L107">
        <f>C107-K107</f>
        <v>18051.698242956307</v>
      </c>
    </row>
    <row r="108" spans="1:12">
      <c r="A108" t="s">
        <v>93</v>
      </c>
      <c r="B108" t="s">
        <v>8</v>
      </c>
      <c r="C108">
        <v>750471.34</v>
      </c>
      <c r="D108">
        <v>48060.78</v>
      </c>
      <c r="E108">
        <v>8733</v>
      </c>
      <c r="F108">
        <v>89.9</v>
      </c>
      <c r="G108">
        <v>3.4</v>
      </c>
      <c r="H108">
        <v>1</v>
      </c>
      <c r="I108">
        <v>0</v>
      </c>
      <c r="J108">
        <v>0</v>
      </c>
      <c r="K108">
        <f>89288.89034
+1.202449548*D108
+33.98426571*E108
+2887.042076*F108
+11104.99019*G108
-8661.454863*H108
+13316.40767*I108
+8380.768503*J108</f>
        <v>732504.74038835755</v>
      </c>
      <c r="L108">
        <f>C108-K108</f>
        <v>17966.599611642421</v>
      </c>
    </row>
    <row r="109" spans="1:12">
      <c r="A109" t="s">
        <v>54</v>
      </c>
      <c r="B109" t="s">
        <v>9</v>
      </c>
      <c r="C109">
        <v>739852.58</v>
      </c>
      <c r="D109">
        <v>82116.19</v>
      </c>
      <c r="E109">
        <v>5988</v>
      </c>
      <c r="F109">
        <v>91.8</v>
      </c>
      <c r="G109">
        <v>4.7</v>
      </c>
      <c r="H109">
        <v>0</v>
      </c>
      <c r="I109">
        <v>1</v>
      </c>
      <c r="J109">
        <v>0</v>
      </c>
      <c r="K109">
        <f>89288.89034
+1.202449548*D109
+33.98426571*E109
+2887.042076*F109
+11104.99019*G109
-8661.454863*H109
+13316.40767*I109
+8380.768503*J109</f>
        <v>722067.57310026221</v>
      </c>
      <c r="L109">
        <f>C109-K109</f>
        <v>17785.006899737753</v>
      </c>
    </row>
    <row r="110" spans="1:12">
      <c r="A110" t="s">
        <v>94</v>
      </c>
      <c r="B110" t="s">
        <v>32</v>
      </c>
      <c r="C110">
        <v>729440.45</v>
      </c>
      <c r="D110">
        <v>97480.94</v>
      </c>
      <c r="E110">
        <v>6840</v>
      </c>
      <c r="F110">
        <v>79.2</v>
      </c>
      <c r="G110">
        <v>4</v>
      </c>
      <c r="H110">
        <v>0</v>
      </c>
      <c r="I110">
        <v>0</v>
      </c>
      <c r="J110">
        <v>0</v>
      </c>
      <c r="K110">
        <f>89288.89034
+1.202449548*D110
+33.98426571*E110
+2887.042076*F110
+11104.99019*G110
-8661.454863*H110
+13316.40767*I110
+8380.768503*J110</f>
        <v>712030.87321721518</v>
      </c>
      <c r="L110">
        <f>C110-K110</f>
        <v>17409.576782784774</v>
      </c>
    </row>
    <row r="111" spans="1:12">
      <c r="A111" t="s">
        <v>78</v>
      </c>
      <c r="B111" t="s">
        <v>32</v>
      </c>
      <c r="C111">
        <v>678311.17</v>
      </c>
      <c r="D111">
        <v>57147.88</v>
      </c>
      <c r="E111">
        <v>5252</v>
      </c>
      <c r="F111">
        <v>95.5</v>
      </c>
      <c r="G111">
        <v>4.4000000000000004</v>
      </c>
      <c r="H111">
        <v>0</v>
      </c>
      <c r="I111">
        <v>0</v>
      </c>
      <c r="J111">
        <v>0</v>
      </c>
      <c r="K111">
        <f>89288.89034
+1.202449548*D111
+33.98426571*E111
+2887.042076*F111
+11104.99019*G111
-8661.454863*H111
+13316.40767*I111
+8380.768503*J111</f>
        <v>661066.17141807824</v>
      </c>
      <c r="L111">
        <f>C111-K111</f>
        <v>17244.998581921798</v>
      </c>
    </row>
    <row r="112" spans="1:12">
      <c r="A112" t="s">
        <v>110</v>
      </c>
      <c r="B112" t="s">
        <v>32</v>
      </c>
      <c r="C112">
        <v>712375.77</v>
      </c>
      <c r="D112">
        <v>62507.16</v>
      </c>
      <c r="E112">
        <v>6000</v>
      </c>
      <c r="F112">
        <v>98.2</v>
      </c>
      <c r="G112">
        <v>3.9</v>
      </c>
      <c r="H112">
        <v>0</v>
      </c>
      <c r="I112">
        <v>0</v>
      </c>
      <c r="J112">
        <v>0</v>
      </c>
      <c r="K112">
        <f>89288.89034
+1.202449548*D112
+33.98426571*E112
+2887.042076*F112
+11104.99019*G112
-8661.454863*H112
+13316.40767*I112
+8380.768503*J112</f>
        <v>695173.1844929636</v>
      </c>
      <c r="L112">
        <f>C112-K112</f>
        <v>17202.58550703642</v>
      </c>
    </row>
    <row r="113" spans="1:12">
      <c r="A113" t="s">
        <v>84</v>
      </c>
      <c r="B113" t="s">
        <v>8</v>
      </c>
      <c r="C113">
        <v>810446.53</v>
      </c>
      <c r="D113">
        <v>63457.19</v>
      </c>
      <c r="E113">
        <v>10125</v>
      </c>
      <c r="F113">
        <v>87</v>
      </c>
      <c r="G113">
        <v>3.7</v>
      </c>
      <c r="H113">
        <v>1</v>
      </c>
      <c r="I113">
        <v>0</v>
      </c>
      <c r="J113">
        <v>0</v>
      </c>
      <c r="K113">
        <f>89288.89034
+1.202449548*D113
+33.98426571*E113
+2887.042076*F113
+11104.99019*G113
-8661.454863*H113
+13316.40767*I113
+8380.768503*J113</f>
        <v>793283.31953860016</v>
      </c>
      <c r="L113">
        <f>C113-K113</f>
        <v>17163.210461399867</v>
      </c>
    </row>
    <row r="114" spans="1:12">
      <c r="A114" t="s">
        <v>94</v>
      </c>
      <c r="B114" t="s">
        <v>32</v>
      </c>
      <c r="C114">
        <v>606783.67000000004</v>
      </c>
      <c r="D114">
        <v>40923.67</v>
      </c>
      <c r="E114">
        <v>3875</v>
      </c>
      <c r="F114">
        <v>96.1</v>
      </c>
      <c r="G114">
        <v>3.8</v>
      </c>
      <c r="H114">
        <v>0</v>
      </c>
      <c r="I114">
        <v>0</v>
      </c>
      <c r="J114">
        <v>0</v>
      </c>
      <c r="K114">
        <f>89288.89034
+1.202449548*D114
+33.98426571*E114
+2887.042076*F114
+11104.99019*G114
-8661.454863*H114
+13316.40767*I114
+8380.768503*J114</f>
        <v>589830.27468585118</v>
      </c>
      <c r="L114">
        <f>C114-K114</f>
        <v>16953.39531414886</v>
      </c>
    </row>
    <row r="115" spans="1:12">
      <c r="A115" t="s">
        <v>110</v>
      </c>
      <c r="B115" t="s">
        <v>32</v>
      </c>
      <c r="C115">
        <v>844710.67</v>
      </c>
      <c r="D115">
        <v>66456.28</v>
      </c>
      <c r="E115">
        <v>9967</v>
      </c>
      <c r="F115">
        <v>94.7</v>
      </c>
      <c r="G115">
        <v>4.2</v>
      </c>
      <c r="H115">
        <v>0</v>
      </c>
      <c r="I115">
        <v>0</v>
      </c>
      <c r="J115">
        <v>0</v>
      </c>
      <c r="K115">
        <f>89288.89034
+1.202449548*D115
+33.98426571*E115
+2887.042076*F115
+11104.99019*G115
-8661.454863*H115
+13316.40767*I115
+8380.768503*J115</f>
        <v>827964.23391453142</v>
      </c>
      <c r="L115">
        <f>C115-K115</f>
        <v>16746.436085468624</v>
      </c>
    </row>
    <row r="116" spans="1:12">
      <c r="A116" t="s">
        <v>67</v>
      </c>
      <c r="B116" t="s">
        <v>10</v>
      </c>
      <c r="C116">
        <v>715097.57</v>
      </c>
      <c r="D116">
        <v>45706.49</v>
      </c>
      <c r="E116">
        <v>6704</v>
      </c>
      <c r="F116">
        <v>94.2</v>
      </c>
      <c r="G116">
        <v>4.2</v>
      </c>
      <c r="H116">
        <v>0</v>
      </c>
      <c r="I116">
        <v>0</v>
      </c>
      <c r="J116">
        <v>1</v>
      </c>
      <c r="K116">
        <f>89288.89034
+1.202449548*D116
+33.98426571*E116
+2887.042076*F116
+11104.99019*G116
-8661.454863*H116
+13316.40767*I116
+8380.768503*J116</f>
        <v>699060.24676120665</v>
      </c>
      <c r="L116">
        <f>C116-K116</f>
        <v>16037.323238793295</v>
      </c>
    </row>
    <row r="117" spans="1:12">
      <c r="A117" t="s">
        <v>92</v>
      </c>
      <c r="B117" t="s">
        <v>9</v>
      </c>
      <c r="C117">
        <v>763159.92</v>
      </c>
      <c r="D117">
        <v>53546.34</v>
      </c>
      <c r="E117">
        <v>8004</v>
      </c>
      <c r="F117">
        <v>95.2</v>
      </c>
      <c r="G117">
        <v>3</v>
      </c>
      <c r="H117">
        <v>0</v>
      </c>
      <c r="I117">
        <v>1</v>
      </c>
      <c r="J117">
        <v>0</v>
      </c>
      <c r="K117">
        <f>89288.89034
+1.202449548*D117
+33.98426571*E117
+2887.042076*F117
+11104.99019*G117
-8661.454863*H117
+13316.40767*I117
+8380.768503*J117</f>
        <v>747163.50928809436</v>
      </c>
      <c r="L117">
        <f>C117-K117</f>
        <v>15996.410711905686</v>
      </c>
    </row>
    <row r="118" spans="1:12">
      <c r="A118" t="s">
        <v>87</v>
      </c>
      <c r="B118" t="s">
        <v>8</v>
      </c>
      <c r="C118">
        <v>712219.81</v>
      </c>
      <c r="D118">
        <v>53367.73</v>
      </c>
      <c r="E118">
        <v>7291</v>
      </c>
      <c r="F118">
        <v>90.6</v>
      </c>
      <c r="G118">
        <v>3.8</v>
      </c>
      <c r="H118">
        <v>1</v>
      </c>
      <c r="I118">
        <v>0</v>
      </c>
      <c r="J118">
        <v>0</v>
      </c>
      <c r="K118">
        <f>89288.89034
+1.202449548*D118
+33.98426571*E118
+2887.042076*F118
+11104.99019*G118
-8661.454863*H118
+13316.40767*I118
+8380.768503*J118</f>
        <v>696343.69439249602</v>
      </c>
      <c r="L118">
        <f>C118-K118</f>
        <v>15876.115607504034</v>
      </c>
    </row>
    <row r="119" spans="1:12">
      <c r="A119" t="s">
        <v>102</v>
      </c>
      <c r="B119" t="s">
        <v>9</v>
      </c>
      <c r="C119">
        <v>714083.68</v>
      </c>
      <c r="D119">
        <v>66104.19</v>
      </c>
      <c r="E119">
        <v>5745</v>
      </c>
      <c r="F119">
        <v>95.8</v>
      </c>
      <c r="G119">
        <v>4</v>
      </c>
      <c r="H119">
        <v>0</v>
      </c>
      <c r="I119">
        <v>1</v>
      </c>
      <c r="J119">
        <v>0</v>
      </c>
      <c r="K119">
        <f>89288.89034
+1.202449548*D119
+33.98426571*E119
+2887.042076*F119
+11104.99019*G119
-8661.454863*H119
+13316.40767*I119
+8380.768503*J119</f>
        <v>698330.44954115618</v>
      </c>
      <c r="L119">
        <f>C119-K119</f>
        <v>15753.230458843871</v>
      </c>
    </row>
    <row r="120" spans="1:12">
      <c r="A120" t="s">
        <v>67</v>
      </c>
      <c r="B120" t="s">
        <v>10</v>
      </c>
      <c r="C120">
        <v>695098.51</v>
      </c>
      <c r="D120">
        <v>50198.12</v>
      </c>
      <c r="E120">
        <v>6089</v>
      </c>
      <c r="F120">
        <v>94</v>
      </c>
      <c r="G120">
        <v>3.9</v>
      </c>
      <c r="H120">
        <v>0</v>
      </c>
      <c r="I120">
        <v>0</v>
      </c>
      <c r="J120">
        <v>1</v>
      </c>
      <c r="K120">
        <f>89288.89034
+1.202449548*D120
+33.98426571*E120
+2887.042076*F120
+11104.99019*G120
-8661.454863*H120
+13316.40767*I120
+8380.768503*J120</f>
        <v>679651.97634063975</v>
      </c>
      <c r="L120">
        <f>C120-K120</f>
        <v>15446.533659360255</v>
      </c>
    </row>
    <row r="121" spans="1:12">
      <c r="A121" t="s">
        <v>75</v>
      </c>
      <c r="B121" t="s">
        <v>8</v>
      </c>
      <c r="C121">
        <v>780344.18</v>
      </c>
      <c r="D121">
        <v>65237.79</v>
      </c>
      <c r="E121">
        <v>8741</v>
      </c>
      <c r="F121">
        <v>94.4</v>
      </c>
      <c r="G121">
        <v>3.3</v>
      </c>
      <c r="H121">
        <v>1</v>
      </c>
      <c r="I121">
        <v>0</v>
      </c>
      <c r="J121">
        <v>0</v>
      </c>
      <c r="K121">
        <f>89288.89034
+1.202449548*D121
+33.98426571*E121
+2887.042076*F121
+11104.99019*G121
-8661.454863*H121
+13316.40767*I121
+8380.768503*J121</f>
        <v>765312.29274752887</v>
      </c>
      <c r="L121">
        <f>C121-K121</f>
        <v>15031.887252471177</v>
      </c>
    </row>
    <row r="122" spans="1:12">
      <c r="A122" t="s">
        <v>42</v>
      </c>
      <c r="B122" t="s">
        <v>8</v>
      </c>
      <c r="C122">
        <v>592195.85</v>
      </c>
      <c r="D122">
        <v>40462.94</v>
      </c>
      <c r="E122">
        <v>3660</v>
      </c>
      <c r="F122">
        <v>95.2</v>
      </c>
      <c r="G122">
        <v>4.4000000000000004</v>
      </c>
      <c r="H122">
        <v>1</v>
      </c>
      <c r="I122">
        <v>0</v>
      </c>
      <c r="J122">
        <v>0</v>
      </c>
      <c r="K122">
        <f>89288.89034
+1.202449548*D122
+33.98426571*E122
+2887.042076*F122
+11104.99019*G122
-8661.454863*H122
+13316.40767*I122
+8380.768503*J122</f>
        <v>577372.85436055122</v>
      </c>
      <c r="L122">
        <f>C122-K122</f>
        <v>14822.995639448753</v>
      </c>
    </row>
    <row r="123" spans="1:12">
      <c r="A123" t="s">
        <v>92</v>
      </c>
      <c r="B123" t="s">
        <v>9</v>
      </c>
      <c r="C123">
        <v>828219.67</v>
      </c>
      <c r="D123">
        <v>70799.64</v>
      </c>
      <c r="E123">
        <v>10076</v>
      </c>
      <c r="F123">
        <v>84.8</v>
      </c>
      <c r="G123">
        <v>3.5</v>
      </c>
      <c r="H123">
        <v>0</v>
      </c>
      <c r="I123">
        <v>1</v>
      </c>
      <c r="J123">
        <v>0</v>
      </c>
      <c r="K123">
        <f>89288.89034
+1.202449548*D123
+33.98426571*E123
+2887.042076*F123
+11104.99019*G123
-8661.454863*H123
+13316.40767*I123
+8380.768503*J123</f>
        <v>813852.38813032268</v>
      </c>
      <c r="L123">
        <f>C123-K123</f>
        <v>14367.281869677361</v>
      </c>
    </row>
    <row r="124" spans="1:12">
      <c r="A124" t="s">
        <v>36</v>
      </c>
      <c r="B124" t="s">
        <v>32</v>
      </c>
      <c r="C124">
        <v>555929.4</v>
      </c>
      <c r="D124">
        <v>42267.37</v>
      </c>
      <c r="E124">
        <v>3364</v>
      </c>
      <c r="F124">
        <v>82</v>
      </c>
      <c r="G124">
        <v>4.5999999999999996</v>
      </c>
      <c r="H124">
        <v>0</v>
      </c>
      <c r="I124">
        <v>0</v>
      </c>
      <c r="J124">
        <v>0</v>
      </c>
      <c r="K124">
        <f>89288.89034
+1.202449548*D124
+33.98426571*E124
+2887.042076*F124
+11104.99019*G124
-8661.454863*H124
+13316.40767*I124
+8380.768503*J124</f>
        <v>542256.74524608883</v>
      </c>
      <c r="L124">
        <f>C124-K124</f>
        <v>13672.654753911193</v>
      </c>
    </row>
    <row r="125" spans="1:12">
      <c r="A125" t="s">
        <v>105</v>
      </c>
      <c r="B125" t="s">
        <v>10</v>
      </c>
      <c r="C125">
        <v>487738.26</v>
      </c>
      <c r="D125">
        <v>27398.28</v>
      </c>
      <c r="E125">
        <v>1723</v>
      </c>
      <c r="F125">
        <v>81</v>
      </c>
      <c r="G125">
        <v>4.5999999999999996</v>
      </c>
      <c r="H125">
        <v>0</v>
      </c>
      <c r="I125">
        <v>0</v>
      </c>
      <c r="J125">
        <v>1</v>
      </c>
      <c r="K125">
        <f>89288.89034
+1.202449548*D125
+33.98426571*E125
+2887.042076*F125
+11104.99019*G125
-8661.454863*H125
+13316.40767*I125
+8380.768503*J125</f>
        <v>474102.96109330747</v>
      </c>
      <c r="L125">
        <f>C125-K125</f>
        <v>13635.298906692537</v>
      </c>
    </row>
    <row r="126" spans="1:12">
      <c r="A126" t="s">
        <v>70</v>
      </c>
      <c r="B126" t="s">
        <v>8</v>
      </c>
      <c r="C126">
        <v>698492.67</v>
      </c>
      <c r="D126">
        <v>64374.75</v>
      </c>
      <c r="E126">
        <v>6740</v>
      </c>
      <c r="F126">
        <v>87</v>
      </c>
      <c r="G126">
        <v>4.2</v>
      </c>
      <c r="H126">
        <v>1</v>
      </c>
      <c r="I126">
        <v>0</v>
      </c>
      <c r="J126">
        <v>0</v>
      </c>
      <c r="K126">
        <f>89288.89034
+1.202449548*D126
+33.98426571*E126
+2887.042076*F126
+11104.99019*G126
-8661.454863*H126
+13316.40767*I126
+8380.768503*J126</f>
        <v>684902.39481251314</v>
      </c>
      <c r="L126">
        <f>C126-K126</f>
        <v>13590.275187486899</v>
      </c>
    </row>
    <row r="127" spans="1:12">
      <c r="A127" t="s">
        <v>96</v>
      </c>
      <c r="B127" t="s">
        <v>9</v>
      </c>
      <c r="C127">
        <v>697888.09</v>
      </c>
      <c r="D127">
        <v>28670.43</v>
      </c>
      <c r="E127">
        <v>7574</v>
      </c>
      <c r="F127">
        <v>82.7</v>
      </c>
      <c r="G127">
        <v>4.5999999999999996</v>
      </c>
      <c r="H127">
        <v>0</v>
      </c>
      <c r="I127">
        <v>1</v>
      </c>
      <c r="J127">
        <v>0</v>
      </c>
      <c r="K127">
        <f>89288.89034
+1.202449548*D127
+33.98426571*E127
+2887.042076*F127
+11104.99019*G127
-8661.454863*H127
+13316.40767*I127
+8380.768503*J127</f>
        <v>684318.20665120566</v>
      </c>
      <c r="L127">
        <f>C127-K127</f>
        <v>13569.883348794305</v>
      </c>
    </row>
    <row r="128" spans="1:12">
      <c r="A128" t="s">
        <v>73</v>
      </c>
      <c r="B128" t="s">
        <v>32</v>
      </c>
      <c r="C128">
        <v>820729.29</v>
      </c>
      <c r="D128">
        <v>78432.14</v>
      </c>
      <c r="E128">
        <v>9440</v>
      </c>
      <c r="F128">
        <v>89.2</v>
      </c>
      <c r="G128">
        <v>4.0999999999999996</v>
      </c>
      <c r="H128">
        <v>0</v>
      </c>
      <c r="I128">
        <v>0</v>
      </c>
      <c r="J128">
        <v>0</v>
      </c>
      <c r="K128">
        <f>89288.89034
+1.202449548*D128
+33.98426571*E128
+2887.042076*F128
+11104.99019*G128
-8661.454863*H128
+13316.40767*I128
+8380.768503*J128</f>
        <v>807465.66289227281</v>
      </c>
      <c r="L128">
        <f>C128-K128</f>
        <v>13263.627107727225</v>
      </c>
    </row>
    <row r="129" spans="1:12">
      <c r="A129" t="s">
        <v>111</v>
      </c>
      <c r="B129" t="s">
        <v>8</v>
      </c>
      <c r="C129">
        <v>536845.42000000004</v>
      </c>
      <c r="D129">
        <v>24088.06</v>
      </c>
      <c r="E129">
        <v>3466</v>
      </c>
      <c r="F129">
        <v>88</v>
      </c>
      <c r="G129">
        <v>3.8</v>
      </c>
      <c r="H129">
        <v>1</v>
      </c>
      <c r="I129">
        <v>0</v>
      </c>
      <c r="J129">
        <v>0</v>
      </c>
      <c r="K129">
        <f>89288.89034
+1.202449548*D129
+33.98426571*E129
+2887.042076*F129
+11104.99019*G129
-8661.454863*H129
+13316.40767*I129
+8380.768503*J129</f>
        <v>523640.24269705691</v>
      </c>
      <c r="L129">
        <f>C129-K129</f>
        <v>13205.177302943135</v>
      </c>
    </row>
    <row r="130" spans="1:12">
      <c r="A130" t="s">
        <v>91</v>
      </c>
      <c r="B130" t="s">
        <v>10</v>
      </c>
      <c r="C130">
        <v>737070.18</v>
      </c>
      <c r="D130">
        <v>26248.1</v>
      </c>
      <c r="E130">
        <v>9314</v>
      </c>
      <c r="F130">
        <v>83.7</v>
      </c>
      <c r="G130">
        <v>3.3</v>
      </c>
      <c r="H130">
        <v>0</v>
      </c>
      <c r="I130">
        <v>0</v>
      </c>
      <c r="J130">
        <v>1</v>
      </c>
      <c r="K130">
        <f>89288.89034
+1.202449548*D130
+33.98426571*E130
+2887.042076*F130
+11104.99019*G130
-8661.454863*H130
+13316.40767*I130
+8380.768503*J130</f>
        <v>724053.01503499888</v>
      </c>
      <c r="L130">
        <f>C130-K130</f>
        <v>13017.164965001168</v>
      </c>
    </row>
    <row r="131" spans="1:12">
      <c r="A131" t="s">
        <v>39</v>
      </c>
      <c r="B131" t="s">
        <v>8</v>
      </c>
      <c r="C131">
        <v>537383.79</v>
      </c>
      <c r="D131">
        <v>63176.73</v>
      </c>
      <c r="E131">
        <v>2390</v>
      </c>
      <c r="F131">
        <v>87.5</v>
      </c>
      <c r="G131">
        <v>3.1</v>
      </c>
      <c r="H131">
        <v>1</v>
      </c>
      <c r="I131">
        <v>0</v>
      </c>
      <c r="J131">
        <v>0</v>
      </c>
      <c r="K131">
        <f>89288.89034
+1.202449548*D131
+33.98426571*E131
+2887.042076*F131
+11104.99019*G131
-8661.454863*H131
+13316.40767*I131
+8380.768503*J131</f>
        <v>524858.31219551805</v>
      </c>
      <c r="L131">
        <f>C131-K131</f>
        <v>12525.477804481983</v>
      </c>
    </row>
    <row r="132" spans="1:12">
      <c r="A132" t="s">
        <v>37</v>
      </c>
      <c r="B132" t="s">
        <v>10</v>
      </c>
      <c r="C132">
        <v>701641.97</v>
      </c>
      <c r="D132">
        <v>52715.1</v>
      </c>
      <c r="E132">
        <v>7223</v>
      </c>
      <c r="F132">
        <v>84.2</v>
      </c>
      <c r="G132">
        <v>3.7</v>
      </c>
      <c r="H132">
        <v>0</v>
      </c>
      <c r="I132">
        <v>0</v>
      </c>
      <c r="J132">
        <v>1</v>
      </c>
      <c r="K132">
        <f>89288.89034
+1.202449548*D132
+33.98426571*E132
+2887.042076*F132
+11104.99019*G132
-8661.454863*H132
+13316.40767*I132
+8380.768503*J132</f>
        <v>690702.6647363049</v>
      </c>
      <c r="L132">
        <f>C132-K132</f>
        <v>10939.305263695074</v>
      </c>
    </row>
    <row r="133" spans="1:12">
      <c r="A133" t="s">
        <v>109</v>
      </c>
      <c r="B133" t="s">
        <v>9</v>
      </c>
      <c r="C133">
        <v>771129.07</v>
      </c>
      <c r="D133">
        <v>86026.58</v>
      </c>
      <c r="E133">
        <v>7479</v>
      </c>
      <c r="F133">
        <v>89</v>
      </c>
      <c r="G133">
        <v>3.9</v>
      </c>
      <c r="H133">
        <v>0</v>
      </c>
      <c r="I133">
        <v>1</v>
      </c>
      <c r="J133">
        <v>0</v>
      </c>
      <c r="K133">
        <f>89288.89034
+1.202449548*D133
+33.98426571*E133
+2887.042076*F133
+11104.99019*G133
-8661.454863*H133
+13316.40767*I133
+8380.768503*J133</f>
        <v>760472.44999707572</v>
      </c>
      <c r="L133">
        <f>C133-K133</f>
        <v>10656.620002924232</v>
      </c>
    </row>
    <row r="134" spans="1:12">
      <c r="A134" t="s">
        <v>87</v>
      </c>
      <c r="B134" t="s">
        <v>8</v>
      </c>
      <c r="C134">
        <v>672670.54</v>
      </c>
      <c r="D134">
        <v>27194.639999999999</v>
      </c>
      <c r="E134">
        <v>7404</v>
      </c>
      <c r="F134">
        <v>90.2</v>
      </c>
      <c r="G134">
        <v>3.4</v>
      </c>
      <c r="H134">
        <v>1</v>
      </c>
      <c r="I134">
        <v>0</v>
      </c>
      <c r="J134">
        <v>0</v>
      </c>
      <c r="K134">
        <f>89288.89034
+1.202449548*D134
+33.98426571*E134
+2887.042076*F134
+11104.99019*G134
-8661.454863*H134
+13316.40767*I134
+8380.768503*J134</f>
        <v>663115.28327106289</v>
      </c>
      <c r="L134">
        <f>C134-K134</f>
        <v>9555.2567289371509</v>
      </c>
    </row>
    <row r="135" spans="1:12">
      <c r="A135" t="s">
        <v>100</v>
      </c>
      <c r="B135" t="s">
        <v>10</v>
      </c>
      <c r="C135">
        <v>645039.97</v>
      </c>
      <c r="D135">
        <v>50532.17</v>
      </c>
      <c r="E135">
        <v>5689</v>
      </c>
      <c r="F135">
        <v>85.6</v>
      </c>
      <c r="G135">
        <v>3.3</v>
      </c>
      <c r="H135">
        <v>0</v>
      </c>
      <c r="I135">
        <v>0</v>
      </c>
      <c r="J135">
        <v>1</v>
      </c>
      <c r="K135">
        <f>89288.89034
+1.202449548*D135
+33.98426571*E135
+2887.042076*F135
+11104.99019*G135
-8661.454863*H135
+13316.40767*I135
+8380.768503*J135</f>
        <v>635545.80077574914</v>
      </c>
      <c r="L135">
        <f>C135-K135</f>
        <v>9494.1692242508288</v>
      </c>
    </row>
    <row r="136" spans="1:12">
      <c r="A136" t="s">
        <v>44</v>
      </c>
      <c r="B136" t="s">
        <v>32</v>
      </c>
      <c r="C136">
        <v>603297.56999999995</v>
      </c>
      <c r="D136">
        <v>49710.29</v>
      </c>
      <c r="E136">
        <v>5559</v>
      </c>
      <c r="F136">
        <v>71</v>
      </c>
      <c r="G136">
        <v>4.5999999999999996</v>
      </c>
      <c r="H136">
        <v>0</v>
      </c>
      <c r="I136">
        <v>0</v>
      </c>
      <c r="J136">
        <v>0</v>
      </c>
      <c r="K136">
        <f>89288.89034
+1.202449548*D136
+33.98426571*E136
+2887.042076*F136
+11104.99019*G136
-8661.454863*H136
+13316.40767*I136
+8380.768503*J136</f>
        <v>594044.48143333895</v>
      </c>
      <c r="L136">
        <f>C136-K136</f>
        <v>9253.0885666609975</v>
      </c>
    </row>
    <row r="137" spans="1:12">
      <c r="A137" t="s">
        <v>41</v>
      </c>
      <c r="B137" t="s">
        <v>32</v>
      </c>
      <c r="C137">
        <v>828623.85</v>
      </c>
      <c r="D137">
        <v>65012.19</v>
      </c>
      <c r="E137">
        <v>9598</v>
      </c>
      <c r="F137">
        <v>98.3</v>
      </c>
      <c r="G137">
        <v>3.8</v>
      </c>
      <c r="H137">
        <v>0</v>
      </c>
      <c r="I137">
        <v>0</v>
      </c>
      <c r="J137">
        <v>0</v>
      </c>
      <c r="K137">
        <f>89288.89034
+1.202449548*D137
+33.98426571*E137
+2887.042076*F137
+11104.99019*G137
-8661.454863*H137
+13316.40767*I137
+8380.768503*J137</f>
        <v>819638.94989737007</v>
      </c>
      <c r="L137">
        <f>C137-K137</f>
        <v>8984.9001026299084</v>
      </c>
    </row>
    <row r="138" spans="1:12">
      <c r="A138" t="s">
        <v>43</v>
      </c>
      <c r="B138" t="s">
        <v>10</v>
      </c>
      <c r="C138">
        <v>585365.73</v>
      </c>
      <c r="D138">
        <v>42093.84</v>
      </c>
      <c r="E138">
        <v>4074</v>
      </c>
      <c r="F138">
        <v>88</v>
      </c>
      <c r="G138">
        <v>3.3</v>
      </c>
      <c r="H138">
        <v>0</v>
      </c>
      <c r="I138">
        <v>0</v>
      </c>
      <c r="J138">
        <v>1</v>
      </c>
      <c r="K138">
        <f>89288.89034
+1.202449548*D138
+33.98426571*E138
+2887.042076*F138
+11104.99019*G138
-8661.454863*H138
+13316.40767*I138
+8380.768503*J138</f>
        <v>577443.44654212438</v>
      </c>
      <c r="L138">
        <f>C138-K138</f>
        <v>7922.283457875601</v>
      </c>
    </row>
    <row r="139" spans="1:12">
      <c r="A139" t="s">
        <v>48</v>
      </c>
      <c r="B139" t="s">
        <v>10</v>
      </c>
      <c r="C139">
        <v>740496.65</v>
      </c>
      <c r="D139">
        <v>42018.400000000001</v>
      </c>
      <c r="E139">
        <v>8296</v>
      </c>
      <c r="F139">
        <v>91.8</v>
      </c>
      <c r="G139">
        <v>3.4</v>
      </c>
      <c r="H139">
        <v>0</v>
      </c>
      <c r="I139">
        <v>0</v>
      </c>
      <c r="J139">
        <v>1</v>
      </c>
      <c r="K139">
        <f>89288.89034
+1.202449548*D139
+33.98426571*E139
+2887.042076*F139
+11104.99019*G139
-8661.454863*H139
+13316.40767*I139
+8380.768503*J139</f>
        <v>732915.5624836433</v>
      </c>
      <c r="L139">
        <f>C139-K139</f>
        <v>7581.0875163567252</v>
      </c>
    </row>
    <row r="140" spans="1:12">
      <c r="A140" t="s">
        <v>86</v>
      </c>
      <c r="B140" t="s">
        <v>32</v>
      </c>
      <c r="C140">
        <v>622892.42000000004</v>
      </c>
      <c r="D140">
        <v>33987.33</v>
      </c>
      <c r="E140">
        <v>5014</v>
      </c>
      <c r="F140">
        <v>94.3</v>
      </c>
      <c r="G140">
        <v>3.9</v>
      </c>
      <c r="H140">
        <v>0</v>
      </c>
      <c r="I140">
        <v>0</v>
      </c>
      <c r="J140">
        <v>0</v>
      </c>
      <c r="K140">
        <f>89288.89034
+1.202449548*D140
+33.98426571*E140
+2887.042076*F140
+11104.99019*G140
-8661.454863*H140
+13316.40767*I140
+8380.768503*J140</f>
        <v>616111.57771396684</v>
      </c>
      <c r="L140">
        <f>C140-K140</f>
        <v>6780.8422860332066</v>
      </c>
    </row>
    <row r="141" spans="1:12">
      <c r="A141" t="s">
        <v>95</v>
      </c>
      <c r="B141" t="s">
        <v>9</v>
      </c>
      <c r="C141">
        <v>764949</v>
      </c>
      <c r="D141">
        <v>81801.8</v>
      </c>
      <c r="E141">
        <v>6782</v>
      </c>
      <c r="F141">
        <v>99</v>
      </c>
      <c r="G141">
        <v>3.7</v>
      </c>
      <c r="H141">
        <v>0</v>
      </c>
      <c r="I141">
        <v>1</v>
      </c>
      <c r="J141">
        <v>0</v>
      </c>
      <c r="K141">
        <f>89288.89034
+1.202449548*D141
+33.98426571*E141
+2887.042076*F141
+11104.99019*G141
-8661.454863*H141
+13316.40767*I141
+8380.768503*J141</f>
        <v>758354.75471780647</v>
      </c>
      <c r="L141">
        <f>C141-K141</f>
        <v>6594.2452821935294</v>
      </c>
    </row>
    <row r="142" spans="1:12">
      <c r="A142" t="s">
        <v>87</v>
      </c>
      <c r="B142" t="s">
        <v>8</v>
      </c>
      <c r="C142">
        <v>732667.92</v>
      </c>
      <c r="D142">
        <v>66962.740000000005</v>
      </c>
      <c r="E142">
        <v>7880</v>
      </c>
      <c r="F142">
        <v>90.4</v>
      </c>
      <c r="G142">
        <v>3.3</v>
      </c>
      <c r="H142">
        <v>1</v>
      </c>
      <c r="I142">
        <v>0</v>
      </c>
      <c r="J142">
        <v>0</v>
      </c>
      <c r="K142">
        <f>89288.89034
+1.202449548*D142
+33.98426571*E142
+2887.042076*F142
+11104.99019*G142
-8661.454863*H142
+13316.40767*I142
+8380.768503*J142</f>
        <v>726577.8370150415</v>
      </c>
      <c r="L142">
        <f>C142-K142</f>
        <v>6090.0829849585425</v>
      </c>
    </row>
    <row r="143" spans="1:12">
      <c r="A143" t="s">
        <v>66</v>
      </c>
      <c r="B143" t="s">
        <v>9</v>
      </c>
      <c r="C143">
        <v>646559.71</v>
      </c>
      <c r="D143">
        <v>44211.95</v>
      </c>
      <c r="E143">
        <v>5465</v>
      </c>
      <c r="F143">
        <v>90</v>
      </c>
      <c r="G143">
        <v>3.6</v>
      </c>
      <c r="H143">
        <v>0</v>
      </c>
      <c r="I143">
        <v>1</v>
      </c>
      <c r="J143">
        <v>0</v>
      </c>
      <c r="K143">
        <f>89288.89034
+1.202449548*D143
+33.98426571*E143
+2887.042076*F143
+11104.99019*G143
-8661.454863*H143
+13316.40767*I143
+8380.768503*J143</f>
        <v>641303.70093284862</v>
      </c>
      <c r="L143">
        <f>C143-K143</f>
        <v>5256.0090671513462</v>
      </c>
    </row>
    <row r="144" spans="1:12">
      <c r="A144" t="s">
        <v>107</v>
      </c>
      <c r="B144" t="s">
        <v>32</v>
      </c>
      <c r="C144">
        <v>724346.73</v>
      </c>
      <c r="D144">
        <v>63986.98</v>
      </c>
      <c r="E144">
        <v>7989</v>
      </c>
      <c r="F144">
        <v>83.3</v>
      </c>
      <c r="G144">
        <v>3.7</v>
      </c>
      <c r="H144">
        <v>0</v>
      </c>
      <c r="I144">
        <v>0</v>
      </c>
      <c r="J144">
        <v>0</v>
      </c>
      <c r="K144">
        <f>89288.89034
+1.202449548*D144
+33.98426571*E144
+2887.042076*F144
+11104.99019*G144
-8661.454863*H144
+13316.40767*I144
+8380.768503*J144</f>
        <v>719309.372909875</v>
      </c>
      <c r="L144">
        <f>C144-K144</f>
        <v>5037.3570901249768</v>
      </c>
    </row>
    <row r="145" spans="1:12">
      <c r="A145" t="s">
        <v>105</v>
      </c>
      <c r="B145" t="s">
        <v>10</v>
      </c>
      <c r="C145">
        <v>533121.26</v>
      </c>
      <c r="D145">
        <v>40102.879999999997</v>
      </c>
      <c r="E145">
        <v>2358</v>
      </c>
      <c r="F145">
        <v>88.7</v>
      </c>
      <c r="G145">
        <v>4.2</v>
      </c>
      <c r="H145">
        <v>0</v>
      </c>
      <c r="I145">
        <v>0</v>
      </c>
      <c r="J145">
        <v>1</v>
      </c>
      <c r="K145">
        <f>89288.89034
+1.202449548*D145
+33.98426571*E145
+2887.042076*F145
+11104.99019*G145
-8661.454863*H145
+13316.40767*I145
+8380.768503*J145</f>
        <v>528747.83825587831</v>
      </c>
      <c r="L145">
        <f>C145-K145</f>
        <v>4373.4217441217043</v>
      </c>
    </row>
    <row r="146" spans="1:12">
      <c r="A146" t="s">
        <v>69</v>
      </c>
      <c r="B146" t="s">
        <v>9</v>
      </c>
      <c r="C146">
        <v>712868.35</v>
      </c>
      <c r="D146">
        <v>43319.94</v>
      </c>
      <c r="E146">
        <v>6551</v>
      </c>
      <c r="F146">
        <v>99</v>
      </c>
      <c r="G146">
        <v>4.0999999999999996</v>
      </c>
      <c r="H146">
        <v>0</v>
      </c>
      <c r="I146">
        <v>1</v>
      </c>
      <c r="J146">
        <v>0</v>
      </c>
      <c r="K146">
        <f>89288.89034
+1.202449548*D146
+33.98426571*E146
+2887.042076*F146
+11104.99019*G146
-8661.454863*H146
+13316.40767*I146
+8380.768503*J146</f>
        <v>708673.89025159716</v>
      </c>
      <c r="L146">
        <f>C146-K146</f>
        <v>4194.45974840282</v>
      </c>
    </row>
    <row r="147" spans="1:12">
      <c r="A147" t="s">
        <v>53</v>
      </c>
      <c r="B147" t="s">
        <v>10</v>
      </c>
      <c r="C147">
        <v>574436.29</v>
      </c>
      <c r="D147">
        <v>55388.11</v>
      </c>
      <c r="E147">
        <v>3091</v>
      </c>
      <c r="F147">
        <v>85.4</v>
      </c>
      <c r="G147">
        <v>4.9000000000000004</v>
      </c>
      <c r="H147">
        <v>0</v>
      </c>
      <c r="I147">
        <v>0</v>
      </c>
      <c r="J147">
        <v>1</v>
      </c>
      <c r="K147">
        <f>89288.89034
+1.202449548*D147
+33.98426571*E147
+2887.042076*F147
+11104.99019*G147
-8661.454863*H147
+13316.40767*I147
+8380.768503*J147</f>
        <v>570284.27720808436</v>
      </c>
      <c r="L147">
        <f>C147-K147</f>
        <v>4152.0127919156803</v>
      </c>
    </row>
    <row r="148" spans="1:12">
      <c r="A148" t="s">
        <v>78</v>
      </c>
      <c r="B148" t="s">
        <v>32</v>
      </c>
      <c r="C148">
        <v>712546.38</v>
      </c>
      <c r="D148">
        <v>72784.800000000003</v>
      </c>
      <c r="E148">
        <v>7932</v>
      </c>
      <c r="F148">
        <v>74.900000000000006</v>
      </c>
      <c r="G148">
        <v>4.2</v>
      </c>
      <c r="H148">
        <v>0</v>
      </c>
      <c r="I148">
        <v>0</v>
      </c>
      <c r="J148">
        <v>0</v>
      </c>
      <c r="K148">
        <f>89288.89034
+1.202449548*D148
+33.98426571*E148
+2887.042076*F148
+11104.99019*G148
-8661.454863*H148
+13316.40767*I148
+8380.768503*J148</f>
        <v>709252.54610339052</v>
      </c>
      <c r="L148">
        <f>C148-K148</f>
        <v>3293.8338966094889</v>
      </c>
    </row>
    <row r="149" spans="1:12">
      <c r="A149" t="s">
        <v>99</v>
      </c>
      <c r="B149" t="s">
        <v>8</v>
      </c>
      <c r="C149">
        <v>799756.46</v>
      </c>
      <c r="D149">
        <v>61995.3</v>
      </c>
      <c r="E149">
        <v>10192</v>
      </c>
      <c r="F149">
        <v>87.6</v>
      </c>
      <c r="G149">
        <v>3.8</v>
      </c>
      <c r="H149">
        <v>1</v>
      </c>
      <c r="I149">
        <v>0</v>
      </c>
      <c r="J149">
        <v>0</v>
      </c>
      <c r="K149">
        <f>89288.89034
+1.202449548*D149
+33.98426571*E149
+2887.042076*F149
+11104.99019*G149
-8661.454863*H149
+13316.40767*I149
+8380.768503*J149</f>
        <v>796645.14063604444</v>
      </c>
      <c r="L149">
        <f>C149-K149</f>
        <v>3111.3193639555248</v>
      </c>
    </row>
    <row r="150" spans="1:12">
      <c r="A150" t="s">
        <v>97</v>
      </c>
      <c r="B150" t="s">
        <v>10</v>
      </c>
      <c r="C150">
        <v>528852.62</v>
      </c>
      <c r="D150">
        <v>14519.37</v>
      </c>
      <c r="E150">
        <v>3047</v>
      </c>
      <c r="F150">
        <v>90.3</v>
      </c>
      <c r="G150">
        <v>4.2</v>
      </c>
      <c r="H150">
        <v>0</v>
      </c>
      <c r="I150">
        <v>0</v>
      </c>
      <c r="J150">
        <v>1</v>
      </c>
      <c r="K150">
        <f>89288.89034
+1.202449548*D150
+33.98426571*E150
+2887.042076*F150
+11104.99019*G150
-8661.454863*H150
+13316.40767*I150
+8380.768503*J150</f>
        <v>526019.38461591478</v>
      </c>
      <c r="L150">
        <f>C150-K150</f>
        <v>2833.2353840852156</v>
      </c>
    </row>
    <row r="151" spans="1:12">
      <c r="A151" t="s">
        <v>58</v>
      </c>
      <c r="B151" t="s">
        <v>10</v>
      </c>
      <c r="C151">
        <v>665594.93999999994</v>
      </c>
      <c r="D151">
        <v>31042.03</v>
      </c>
      <c r="E151">
        <v>7107</v>
      </c>
      <c r="F151">
        <v>87</v>
      </c>
      <c r="G151">
        <v>3.2</v>
      </c>
      <c r="H151">
        <v>0</v>
      </c>
      <c r="I151">
        <v>0</v>
      </c>
      <c r="J151">
        <v>1</v>
      </c>
      <c r="K151">
        <f>89288.89034
+1.202449548*D151
+33.98426571*E151
+2887.042076*F151
+11104.99019*G151
-8661.454863*H151
+13316.40767*I151
+8380.768503*J151</f>
        <v>663230.93940647249</v>
      </c>
      <c r="L151">
        <f>C151-K151</f>
        <v>2364.000593527453</v>
      </c>
    </row>
    <row r="152" spans="1:12">
      <c r="A152" t="s">
        <v>46</v>
      </c>
      <c r="B152" t="s">
        <v>8</v>
      </c>
      <c r="C152">
        <v>500298.48</v>
      </c>
      <c r="D152">
        <v>59405.68</v>
      </c>
      <c r="E152">
        <v>2515</v>
      </c>
      <c r="F152">
        <v>76</v>
      </c>
      <c r="G152">
        <v>3.7</v>
      </c>
      <c r="H152">
        <v>1</v>
      </c>
      <c r="I152">
        <v>0</v>
      </c>
      <c r="J152">
        <v>0</v>
      </c>
      <c r="K152">
        <f>89288.89034
+1.202449548*D152
+33.98426571*E152
+2887.042076*F152
+11104.99019*G152
-8661.454863*H152
+13316.40767*I152
+8380.768503*J152</f>
        <v>498033.85828128265</v>
      </c>
      <c r="L152">
        <f>C152-K152</f>
        <v>2264.6217187173315</v>
      </c>
    </row>
    <row r="153" spans="1:12">
      <c r="A153" t="s">
        <v>50</v>
      </c>
      <c r="B153" t="s">
        <v>8</v>
      </c>
      <c r="C153">
        <v>616069.41</v>
      </c>
      <c r="D153">
        <v>46201.46</v>
      </c>
      <c r="E153">
        <v>5918</v>
      </c>
      <c r="F153">
        <v>78.8</v>
      </c>
      <c r="G153">
        <v>4.5</v>
      </c>
      <c r="H153">
        <v>1</v>
      </c>
      <c r="I153">
        <v>0</v>
      </c>
      <c r="J153">
        <v>0</v>
      </c>
      <c r="K153">
        <f>89288.89034
+1.202449548*D153
+33.98426571*E153
+2887.042076*F153
+11104.99019*G153
-8661.454863*H153
+13316.40767*I153
+8380.768503*J153</f>
        <v>614772.61608652002</v>
      </c>
      <c r="L153">
        <f>C153-K153</f>
        <v>1296.7939134800108</v>
      </c>
    </row>
    <row r="154" spans="1:12">
      <c r="A154" t="s">
        <v>58</v>
      </c>
      <c r="B154" t="s">
        <v>10</v>
      </c>
      <c r="C154">
        <v>783797.89</v>
      </c>
      <c r="D154">
        <v>74679.350000000006</v>
      </c>
      <c r="E154">
        <v>8739</v>
      </c>
      <c r="F154">
        <v>91.8</v>
      </c>
      <c r="G154">
        <v>3</v>
      </c>
      <c r="H154">
        <v>0</v>
      </c>
      <c r="I154">
        <v>0</v>
      </c>
      <c r="J154">
        <v>1</v>
      </c>
      <c r="K154">
        <f>89288.89034
+1.202449548*D154
+33.98426571*E154
+2887.042076*F154
+11104.99019*G154
-8661.454863*H154
+13316.40767*I154
+8380.768503*J154</f>
        <v>782801.74068192381</v>
      </c>
      <c r="L154">
        <f>C154-K154</f>
        <v>996.14931807620451</v>
      </c>
    </row>
    <row r="155" spans="1:12">
      <c r="A155" t="s">
        <v>64</v>
      </c>
      <c r="B155" t="s">
        <v>8</v>
      </c>
      <c r="C155">
        <v>801830.35</v>
      </c>
      <c r="D155">
        <v>68410.929999999993</v>
      </c>
      <c r="E155">
        <v>10596</v>
      </c>
      <c r="F155">
        <v>81.2</v>
      </c>
      <c r="G155">
        <v>4</v>
      </c>
      <c r="H155">
        <v>1</v>
      </c>
      <c r="I155">
        <v>0</v>
      </c>
      <c r="J155">
        <v>0</v>
      </c>
      <c r="K155">
        <f>89288.89034
+1.202449548*D155
+33.98426571*E155
+2887.042076*F155
+11104.99019*G155
-8661.454863*H155
+13316.40767*I155
+8380.768503*J155</f>
        <v>801833.18412811973</v>
      </c>
      <c r="L155">
        <f>C155-K155</f>
        <v>-2.8341281197499484</v>
      </c>
    </row>
    <row r="156" spans="1:12">
      <c r="A156" t="s">
        <v>70</v>
      </c>
      <c r="B156" t="s">
        <v>8</v>
      </c>
      <c r="C156">
        <v>702318.94</v>
      </c>
      <c r="D156">
        <v>42698.14</v>
      </c>
      <c r="E156">
        <v>7693</v>
      </c>
      <c r="F156">
        <v>90.1</v>
      </c>
      <c r="G156">
        <v>4.4000000000000004</v>
      </c>
      <c r="H156">
        <v>1</v>
      </c>
      <c r="I156">
        <v>0</v>
      </c>
      <c r="J156">
        <v>0</v>
      </c>
      <c r="K156">
        <f>89288.89034
+1.202449548*D156
+33.98426571*E156
+2887.042076*F156
+11104.99019*G156
-8661.454863*H156
+13316.40767*I156
+8380.768503*J156</f>
        <v>702395.19861107075</v>
      </c>
      <c r="L156">
        <f>C156-K156</f>
        <v>-76.258611070807092</v>
      </c>
    </row>
    <row r="157" spans="1:12">
      <c r="A157" t="s">
        <v>93</v>
      </c>
      <c r="B157" t="s">
        <v>8</v>
      </c>
      <c r="C157">
        <v>679888.74</v>
      </c>
      <c r="D157">
        <v>21536.18</v>
      </c>
      <c r="E157">
        <v>8119</v>
      </c>
      <c r="F157">
        <v>90.4</v>
      </c>
      <c r="G157">
        <v>3.3</v>
      </c>
      <c r="H157">
        <v>1</v>
      </c>
      <c r="I157">
        <v>0</v>
      </c>
      <c r="J157">
        <v>0</v>
      </c>
      <c r="K157">
        <f>89288.89034
+1.202449548*D157
+33.98426571*E157
+2887.042076*F157
+11104.99019*G157
-8661.454863*H157
+13316.40767*I157
+8380.768503*J157</f>
        <v>680076.92998053669</v>
      </c>
      <c r="L157">
        <f>C157-K157</f>
        <v>-188.1899805366993</v>
      </c>
    </row>
    <row r="158" spans="1:12">
      <c r="A158" t="s">
        <v>68</v>
      </c>
      <c r="B158" t="s">
        <v>32</v>
      </c>
      <c r="C158">
        <v>570964.84</v>
      </c>
      <c r="D158">
        <v>60322.400000000001</v>
      </c>
      <c r="E158">
        <v>3350</v>
      </c>
      <c r="F158">
        <v>89.4</v>
      </c>
      <c r="G158">
        <v>3.4</v>
      </c>
      <c r="H158">
        <v>0</v>
      </c>
      <c r="I158">
        <v>0</v>
      </c>
      <c r="J158">
        <v>0</v>
      </c>
      <c r="K158">
        <f>89288.89034
+1.202449548*D158
+33.98426571*E158
+2887.042076*F158
+11104.99019*G158
-8661.454863*H158
+13316.40767*I158
+8380.768503*J158</f>
        <v>571529.35132317524</v>
      </c>
      <c r="L158">
        <f>C158-K158</f>
        <v>-564.51132317527663</v>
      </c>
    </row>
    <row r="159" spans="1:12">
      <c r="A159" t="s">
        <v>73</v>
      </c>
      <c r="B159" t="s">
        <v>32</v>
      </c>
      <c r="C159">
        <v>665534.69999999995</v>
      </c>
      <c r="D159">
        <v>30301.86</v>
      </c>
      <c r="E159">
        <v>6939</v>
      </c>
      <c r="F159">
        <v>90.3</v>
      </c>
      <c r="G159">
        <v>4</v>
      </c>
      <c r="H159">
        <v>0</v>
      </c>
      <c r="I159">
        <v>0</v>
      </c>
      <c r="J159">
        <v>0</v>
      </c>
      <c r="K159">
        <f>89288.89034
+1.202449548*D159
+33.98426571*E159
+2887.042076*F159
+11104.99019*G159
-8661.454863*H159
+13316.40767*I159
+8380.768503*J159</f>
        <v>666662.0281850493</v>
      </c>
      <c r="L159">
        <f>C159-K159</f>
        <v>-1127.3281850493513</v>
      </c>
    </row>
    <row r="160" spans="1:12">
      <c r="A160" t="s">
        <v>71</v>
      </c>
      <c r="B160" t="s">
        <v>32</v>
      </c>
      <c r="C160">
        <v>700078.32</v>
      </c>
      <c r="D160">
        <v>86883.31</v>
      </c>
      <c r="E160">
        <v>6424</v>
      </c>
      <c r="F160">
        <v>85.2</v>
      </c>
      <c r="G160">
        <v>3.9</v>
      </c>
      <c r="H160">
        <v>0</v>
      </c>
      <c r="I160">
        <v>0</v>
      </c>
      <c r="J160">
        <v>0</v>
      </c>
      <c r="K160">
        <f>89288.89034
+1.202449548*D160
+33.98426571*E160
+2887.042076*F160
+11104.99019*G160
-8661.454863*H160
+13316.40767*I160
+8380.768503*J160</f>
        <v>701362.05671548378</v>
      </c>
      <c r="L160">
        <f>C160-K160</f>
        <v>-1283.7367154838284</v>
      </c>
    </row>
    <row r="161" spans="1:12">
      <c r="A161" t="s">
        <v>83</v>
      </c>
      <c r="B161" t="s">
        <v>8</v>
      </c>
      <c r="C161">
        <v>825060.52</v>
      </c>
      <c r="D161">
        <v>92090.14</v>
      </c>
      <c r="E161">
        <v>9476</v>
      </c>
      <c r="F161">
        <v>94.3</v>
      </c>
      <c r="G161">
        <v>3.7</v>
      </c>
      <c r="H161">
        <v>1</v>
      </c>
      <c r="I161">
        <v>0</v>
      </c>
      <c r="J161">
        <v>0</v>
      </c>
      <c r="K161">
        <f>89288.89034
+1.202449548*D161
+33.98426571*E161
+2887.042076*F161
+11104.99019*G161
-8661.454863*H161
+13316.40767*I161
+8380.768503*J161</f>
        <v>826732.6160330167</v>
      </c>
      <c r="L161">
        <f>C161-K161</f>
        <v>-1672.0960330166854</v>
      </c>
    </row>
    <row r="162" spans="1:12">
      <c r="A162" t="s">
        <v>106</v>
      </c>
      <c r="B162" t="s">
        <v>10</v>
      </c>
      <c r="C162">
        <v>668459.37</v>
      </c>
      <c r="D162">
        <v>55599.56</v>
      </c>
      <c r="E162">
        <v>5896</v>
      </c>
      <c r="F162">
        <v>93.1</v>
      </c>
      <c r="G162">
        <v>3.3</v>
      </c>
      <c r="H162">
        <v>0</v>
      </c>
      <c r="I162">
        <v>0</v>
      </c>
      <c r="J162">
        <v>1</v>
      </c>
      <c r="K162">
        <f>89288.89034
+1.202449548*D162
+33.98426571*E162
+2887.042076*F162
+11104.99019*G162
-8661.454863*H162
+13316.40767*I162
+8380.768503*J162</f>
        <v>670326.64016275888</v>
      </c>
      <c r="L162">
        <f>C162-K162</f>
        <v>-1867.2701627588831</v>
      </c>
    </row>
    <row r="163" spans="1:12">
      <c r="A163" t="s">
        <v>94</v>
      </c>
      <c r="B163" t="s">
        <v>32</v>
      </c>
      <c r="C163">
        <v>647953.78</v>
      </c>
      <c r="D163">
        <v>38361.93</v>
      </c>
      <c r="E163">
        <v>6322</v>
      </c>
      <c r="F163">
        <v>88.4</v>
      </c>
      <c r="G163">
        <v>4</v>
      </c>
      <c r="H163">
        <v>0</v>
      </c>
      <c r="I163">
        <v>0</v>
      </c>
      <c r="J163">
        <v>0</v>
      </c>
      <c r="K163">
        <f>89288.89034
+1.202449548*D163
+33.98426571*E163
+2887.042076*F163
+11104.99019*G163
-8661.454863*H163
+13316.40767*I163
+8380.768503*J163</f>
        <v>649900.18382592767</v>
      </c>
      <c r="L163">
        <f>C163-K163</f>
        <v>-1946.4038259276422</v>
      </c>
    </row>
    <row r="164" spans="1:12">
      <c r="A164" t="s">
        <v>90</v>
      </c>
      <c r="B164" t="s">
        <v>10</v>
      </c>
      <c r="C164">
        <v>640666.53</v>
      </c>
      <c r="D164">
        <v>62582.71</v>
      </c>
      <c r="E164">
        <v>5479</v>
      </c>
      <c r="F164">
        <v>81.2</v>
      </c>
      <c r="G164">
        <v>4.5</v>
      </c>
      <c r="H164">
        <v>0</v>
      </c>
      <c r="I164">
        <v>0</v>
      </c>
      <c r="J164">
        <v>1</v>
      </c>
      <c r="K164">
        <f>89288.89034
+1.202449548*D164
+33.98426571*E164
+2887.042076*F164
+11104.99019*G164
-8661.454863*H164
+13316.40767*I164
+8380.768503*J164</f>
        <v>643522.27444640512</v>
      </c>
      <c r="L164">
        <f>C164-K164</f>
        <v>-2855.7444464050932</v>
      </c>
    </row>
    <row r="165" spans="1:12">
      <c r="A165" t="s">
        <v>96</v>
      </c>
      <c r="B165" t="s">
        <v>9</v>
      </c>
      <c r="C165">
        <v>746115.59</v>
      </c>
      <c r="D165">
        <v>44189.34</v>
      </c>
      <c r="E165">
        <v>8634</v>
      </c>
      <c r="F165">
        <v>87.5</v>
      </c>
      <c r="G165">
        <v>4.4000000000000004</v>
      </c>
      <c r="H165">
        <v>0</v>
      </c>
      <c r="I165">
        <v>1</v>
      </c>
      <c r="J165">
        <v>0</v>
      </c>
      <c r="K165">
        <f>89288.89034
+1.202449548*D165
+33.98426571*E165
+2887.042076*F165
+11104.99019*G165
-8661.454863*H165
+13316.40767*I165
+8380.768503*J165</f>
        <v>750639.03854555835</v>
      </c>
      <c r="L165">
        <f>C165-K165</f>
        <v>-4523.4485455583781</v>
      </c>
    </row>
    <row r="166" spans="1:12">
      <c r="A166" t="s">
        <v>68</v>
      </c>
      <c r="B166" t="s">
        <v>32</v>
      </c>
      <c r="C166">
        <v>601568.87</v>
      </c>
      <c r="D166">
        <v>53351.7</v>
      </c>
      <c r="E166">
        <v>4259</v>
      </c>
      <c r="F166">
        <v>93.7</v>
      </c>
      <c r="G166">
        <v>3.4</v>
      </c>
      <c r="H166">
        <v>0</v>
      </c>
      <c r="I166">
        <v>0</v>
      </c>
      <c r="J166">
        <v>0</v>
      </c>
      <c r="K166">
        <f>89288.89034
+1.202449548*D166
+33.98426571*E166
+2887.042076*F166
+11104.99019*G166
-8661.454863*H166
+13316.40767*I166
+8380.768503*J166</f>
        <v>606453.41471612174</v>
      </c>
      <c r="L166">
        <f>C166-K166</f>
        <v>-4884.5447161217453</v>
      </c>
    </row>
    <row r="167" spans="1:12">
      <c r="A167" t="s">
        <v>36</v>
      </c>
      <c r="B167" t="s">
        <v>32</v>
      </c>
      <c r="C167">
        <v>565810.99</v>
      </c>
      <c r="D167">
        <v>62060.43</v>
      </c>
      <c r="E167">
        <v>2613</v>
      </c>
      <c r="F167">
        <v>92.1</v>
      </c>
      <c r="G167">
        <v>4.7</v>
      </c>
      <c r="H167">
        <v>0</v>
      </c>
      <c r="I167">
        <v>0</v>
      </c>
      <c r="J167">
        <v>0</v>
      </c>
      <c r="K167">
        <f>89288.89034
+1.202449548*D167
+33.98426571*E167
+2887.042076*F167
+11104.99019*G167
-8661.454863*H167
+13316.40767*I167
+8380.768503*J167</f>
        <v>570804.34173501562</v>
      </c>
      <c r="L167">
        <f>C167-K167</f>
        <v>-4993.3517350156326</v>
      </c>
    </row>
    <row r="168" spans="1:12">
      <c r="A168" t="s">
        <v>82</v>
      </c>
      <c r="B168" t="s">
        <v>8</v>
      </c>
      <c r="C168">
        <v>598904.9</v>
      </c>
      <c r="D168">
        <v>22312.93</v>
      </c>
      <c r="E168">
        <v>5955</v>
      </c>
      <c r="F168">
        <v>84.2</v>
      </c>
      <c r="G168">
        <v>4.5999999999999996</v>
      </c>
      <c r="H168">
        <v>1</v>
      </c>
      <c r="I168">
        <v>0</v>
      </c>
      <c r="J168">
        <v>0</v>
      </c>
      <c r="K168">
        <f>89288.89034
+1.202449548*D168
+33.98426571*E168
+2887.042076*F168
+11104.99019*G168
-8661.454863*H168
+13316.40767*I168
+8380.768503*J168</f>
        <v>604005.80804630578</v>
      </c>
      <c r="L168">
        <f>C168-K168</f>
        <v>-5100.9080463057617</v>
      </c>
    </row>
    <row r="169" spans="1:12">
      <c r="A169" t="s">
        <v>77</v>
      </c>
      <c r="B169" t="s">
        <v>10</v>
      </c>
      <c r="C169">
        <v>855341.28</v>
      </c>
      <c r="D169">
        <v>68491.11</v>
      </c>
      <c r="E169">
        <v>11154</v>
      </c>
      <c r="F169">
        <v>89.4</v>
      </c>
      <c r="G169">
        <v>3.9</v>
      </c>
      <c r="H169">
        <v>0</v>
      </c>
      <c r="I169">
        <v>0</v>
      </c>
      <c r="J169">
        <v>1</v>
      </c>
      <c r="K169">
        <f>89288.89034
+1.202449548*D169
+33.98426571*E169
+2887.042076*F169
+11104.99019*G169
-8661.454863*H169
+13316.40767*I169
+8380.768503*J169</f>
        <v>860498.28616925841</v>
      </c>
      <c r="L169">
        <f>C169-K169</f>
        <v>-5157.006169258384</v>
      </c>
    </row>
    <row r="170" spans="1:12">
      <c r="A170" t="s">
        <v>97</v>
      </c>
      <c r="B170" t="s">
        <v>10</v>
      </c>
      <c r="C170">
        <v>605751.32999999996</v>
      </c>
      <c r="D170">
        <v>43288.2</v>
      </c>
      <c r="E170">
        <v>4783</v>
      </c>
      <c r="F170">
        <v>87.3</v>
      </c>
      <c r="G170">
        <v>4.2</v>
      </c>
      <c r="H170">
        <v>0</v>
      </c>
      <c r="I170">
        <v>0</v>
      </c>
      <c r="J170">
        <v>1</v>
      </c>
      <c r="K170">
        <f>89288.89034
+1.202449548*D170
+33.98426571*E170
+2887.042076*F170
+11104.99019*G170
-8661.454863*H170
+13316.40767*I170
+8380.768503*J170</f>
        <v>610948.01029046357</v>
      </c>
      <c r="L170">
        <f>C170-K170</f>
        <v>-5196.6802904636133</v>
      </c>
    </row>
    <row r="171" spans="1:12">
      <c r="A171" t="s">
        <v>56</v>
      </c>
      <c r="B171" t="s">
        <v>10</v>
      </c>
      <c r="C171">
        <v>605775.32999999996</v>
      </c>
      <c r="D171">
        <v>38752.800000000003</v>
      </c>
      <c r="E171">
        <v>4712</v>
      </c>
      <c r="F171">
        <v>89.7</v>
      </c>
      <c r="G171">
        <v>4.3</v>
      </c>
      <c r="H171">
        <v>0</v>
      </c>
      <c r="I171">
        <v>0</v>
      </c>
      <c r="J171">
        <v>1</v>
      </c>
      <c r="K171">
        <f>89288.89034
+1.202449548*D171
+33.98426571*E171
+2887.042076*F171
+11104.99019*G171
-8661.454863*H171
+13316.40767*I171
+8380.768503*J171</f>
        <v>611120.93774645438</v>
      </c>
      <c r="L171">
        <f>C171-K171</f>
        <v>-5345.6077464544214</v>
      </c>
    </row>
    <row r="172" spans="1:12">
      <c r="A172" t="s">
        <v>91</v>
      </c>
      <c r="B172" t="s">
        <v>10</v>
      </c>
      <c r="C172">
        <v>761919.25</v>
      </c>
      <c r="D172">
        <v>59060.05</v>
      </c>
      <c r="E172">
        <v>9702</v>
      </c>
      <c r="F172">
        <v>80.900000000000006</v>
      </c>
      <c r="G172">
        <v>3.2</v>
      </c>
      <c r="H172">
        <v>0</v>
      </c>
      <c r="I172">
        <v>0</v>
      </c>
      <c r="J172">
        <v>1</v>
      </c>
      <c r="K172">
        <f>89288.89034
+1.202449548*D172
+33.98426571*E172
+2887.042076*F172
+11104.99019*G172
-8661.454863*H172
+13316.40767*I172
+8380.768503*J172</f>
        <v>767499.40774517751</v>
      </c>
      <c r="L172">
        <f>C172-K172</f>
        <v>-5580.1577451775083</v>
      </c>
    </row>
    <row r="173" spans="1:12">
      <c r="A173" t="s">
        <v>77</v>
      </c>
      <c r="B173" t="s">
        <v>10</v>
      </c>
      <c r="C173">
        <v>751393.88</v>
      </c>
      <c r="D173">
        <v>45209.25</v>
      </c>
      <c r="E173">
        <v>9287</v>
      </c>
      <c r="F173">
        <v>86.4</v>
      </c>
      <c r="G173">
        <v>3.6</v>
      </c>
      <c r="H173">
        <v>0</v>
      </c>
      <c r="I173">
        <v>0</v>
      </c>
      <c r="J173">
        <v>1</v>
      </c>
      <c r="K173">
        <f>89288.89034
+1.202449548*D173
+33.98426571*E173
+2887.042076*F173
+11104.99019*G173
-8661.454863*H173
+13316.40767*I173
+8380.768503*J173</f>
        <v>757061.77677008905</v>
      </c>
      <c r="L173">
        <f>C173-K173</f>
        <v>-5667.8967700890498</v>
      </c>
    </row>
    <row r="174" spans="1:12">
      <c r="A174" t="s">
        <v>41</v>
      </c>
      <c r="B174" t="s">
        <v>32</v>
      </c>
      <c r="C174">
        <v>736633.4</v>
      </c>
      <c r="D174">
        <v>93381.26</v>
      </c>
      <c r="E174">
        <v>7562</v>
      </c>
      <c r="F174">
        <v>82.9</v>
      </c>
      <c r="G174">
        <v>4</v>
      </c>
      <c r="H174">
        <v>0</v>
      </c>
      <c r="I174">
        <v>0</v>
      </c>
      <c r="J174">
        <v>0</v>
      </c>
      <c r="K174">
        <f>89288.89034
+1.202449548*D174
+33.98426571*E174
+2887.042076*F174
+11104.99019*G174
-8661.454863*H174
+13316.40767*I174
+8380.768503*J174</f>
        <v>742319.91037809057</v>
      </c>
      <c r="L174">
        <f>C174-K174</f>
        <v>-5686.5103780905483</v>
      </c>
    </row>
    <row r="175" spans="1:12">
      <c r="A175" t="s">
        <v>40</v>
      </c>
      <c r="B175" t="s">
        <v>32</v>
      </c>
      <c r="C175">
        <v>798952.17</v>
      </c>
      <c r="D175">
        <v>74413.88</v>
      </c>
      <c r="E175">
        <v>9449</v>
      </c>
      <c r="F175">
        <v>92.1</v>
      </c>
      <c r="G175">
        <v>3.5</v>
      </c>
      <c r="H175">
        <v>0</v>
      </c>
      <c r="I175">
        <v>0</v>
      </c>
      <c r="J175">
        <v>0</v>
      </c>
      <c r="K175">
        <f>89288.89034
+1.202449548*D175
+33.98426571*E175
+2887.042076*F175
+11104.99019*G175
-8661.454863*H175
+13316.40767*I175
+8380.768503*J175</f>
        <v>804649.19426931627</v>
      </c>
      <c r="L175">
        <f>C175-K175</f>
        <v>-5697.024269316229</v>
      </c>
    </row>
    <row r="176" spans="1:12">
      <c r="A176" t="s">
        <v>31</v>
      </c>
      <c r="B176" t="s">
        <v>32</v>
      </c>
      <c r="C176">
        <v>779010.94</v>
      </c>
      <c r="D176">
        <v>68133.440000000002</v>
      </c>
      <c r="E176">
        <v>9459</v>
      </c>
      <c r="F176">
        <v>85</v>
      </c>
      <c r="G176">
        <v>4.2</v>
      </c>
      <c r="H176">
        <v>0</v>
      </c>
      <c r="I176">
        <v>0</v>
      </c>
      <c r="J176">
        <v>0</v>
      </c>
      <c r="K176">
        <f>89288.89034
+1.202449548*D176
+33.98426571*E176
+2887.042076*F176
+11104.99019*G176
-8661.454863*H176
+13316.40767*I176
+8380.768503*J176</f>
        <v>784712.61908057518</v>
      </c>
      <c r="L176">
        <f>C176-K176</f>
        <v>-5701.6790805752389</v>
      </c>
    </row>
    <row r="177" spans="1:12">
      <c r="A177" t="s">
        <v>90</v>
      </c>
      <c r="B177" t="s">
        <v>10</v>
      </c>
      <c r="C177">
        <v>670629.48</v>
      </c>
      <c r="D177">
        <v>47944.14</v>
      </c>
      <c r="E177">
        <v>6169</v>
      </c>
      <c r="F177">
        <v>92.2</v>
      </c>
      <c r="G177">
        <v>4.0999999999999996</v>
      </c>
      <c r="H177">
        <v>0</v>
      </c>
      <c r="I177">
        <v>0</v>
      </c>
      <c r="J177">
        <v>1</v>
      </c>
      <c r="K177">
        <f>89288.89034
+1.202449548*D177
+33.98426571*E177
+2887.042076*F177
+11104.99019*G177
-8661.454863*H177
+13316.40767*I177
+8380.768503*J177</f>
        <v>676684.7426664388</v>
      </c>
      <c r="L177">
        <f>C177-K177</f>
        <v>-6055.2626664388226</v>
      </c>
    </row>
    <row r="178" spans="1:12">
      <c r="A178" t="s">
        <v>84</v>
      </c>
      <c r="B178" t="s">
        <v>8</v>
      </c>
      <c r="C178">
        <v>761963.23</v>
      </c>
      <c r="D178">
        <v>49405.75</v>
      </c>
      <c r="E178">
        <v>9752</v>
      </c>
      <c r="F178">
        <v>87</v>
      </c>
      <c r="G178">
        <v>4.0999999999999996</v>
      </c>
      <c r="H178">
        <v>1</v>
      </c>
      <c r="I178">
        <v>0</v>
      </c>
      <c r="J178">
        <v>0</v>
      </c>
      <c r="K178">
        <f>89288.89034
+1.202449548*D178
+33.98426571*E178
+2887.042076*F178
+11104.99019*G178
-8661.454863*H178
+13316.40767*I178
+8380.768503*J178</f>
        <v>768153.03682802105</v>
      </c>
      <c r="L178">
        <f>C178-K178</f>
        <v>-6189.8068280210719</v>
      </c>
    </row>
    <row r="179" spans="1:12">
      <c r="A179" t="s">
        <v>80</v>
      </c>
      <c r="B179" t="s">
        <v>10</v>
      </c>
      <c r="C179">
        <v>559422.02</v>
      </c>
      <c r="D179">
        <v>40220.18</v>
      </c>
      <c r="E179">
        <v>3783</v>
      </c>
      <c r="F179">
        <v>86.6</v>
      </c>
      <c r="G179">
        <v>3.7</v>
      </c>
      <c r="H179">
        <v>0</v>
      </c>
      <c r="I179">
        <v>0</v>
      </c>
      <c r="J179">
        <v>1</v>
      </c>
      <c r="K179">
        <f>89288.89034
+1.202449548*D179
+33.98426571*E179
+2887.042076*F179
+11104.99019*G179
-8661.454863*H179
+13316.40767*I179
+8380.768503*J179</f>
        <v>565701.18077000871</v>
      </c>
      <c r="L179">
        <f>C179-K179</f>
        <v>-6279.1607700086897</v>
      </c>
    </row>
    <row r="180" spans="1:12">
      <c r="A180" t="s">
        <v>94</v>
      </c>
      <c r="B180" t="s">
        <v>32</v>
      </c>
      <c r="C180">
        <v>642751.42000000004</v>
      </c>
      <c r="D180">
        <v>72932.55</v>
      </c>
      <c r="E180">
        <v>5765</v>
      </c>
      <c r="F180">
        <v>81.8</v>
      </c>
      <c r="G180">
        <v>3.6</v>
      </c>
      <c r="H180">
        <v>0</v>
      </c>
      <c r="I180">
        <v>0</v>
      </c>
      <c r="J180">
        <v>0</v>
      </c>
      <c r="K180">
        <f>89288.89034
+1.202449548*D180
+33.98426571*E180
+2887.042076*F180
+11104.99019*G180
-8661.454863*H180
+13316.40767*I180
+8380.768503*J180</f>
        <v>649043.90044093737</v>
      </c>
      <c r="L180">
        <f>C180-K180</f>
        <v>-6292.4804409373319</v>
      </c>
    </row>
    <row r="181" spans="1:12">
      <c r="A181" t="s">
        <v>65</v>
      </c>
      <c r="B181" t="s">
        <v>32</v>
      </c>
      <c r="C181">
        <v>593247.25</v>
      </c>
      <c r="D181">
        <v>52285.45</v>
      </c>
      <c r="E181">
        <v>3618</v>
      </c>
      <c r="F181">
        <v>95.6</v>
      </c>
      <c r="G181">
        <v>4.4000000000000004</v>
      </c>
      <c r="H181">
        <v>0</v>
      </c>
      <c r="I181">
        <v>0</v>
      </c>
      <c r="J181">
        <v>0</v>
      </c>
      <c r="K181">
        <f>89288.89034
+1.202449548*D181
+33.98426571*E181
+2887.042076*F181
+11104.99019*G181
-8661.454863*H181
+13316.40767*I181
+8380.768503*J181</f>
        <v>599977.75869985658</v>
      </c>
      <c r="L181">
        <f>C181-K181</f>
        <v>-6730.5086998565821</v>
      </c>
    </row>
    <row r="182" spans="1:12">
      <c r="A182" t="s">
        <v>37</v>
      </c>
      <c r="B182" t="s">
        <v>10</v>
      </c>
      <c r="C182">
        <v>783672.82</v>
      </c>
      <c r="D182">
        <v>55270.52</v>
      </c>
      <c r="E182">
        <v>9315</v>
      </c>
      <c r="F182">
        <v>91.9</v>
      </c>
      <c r="G182">
        <v>4</v>
      </c>
      <c r="H182">
        <v>0</v>
      </c>
      <c r="I182">
        <v>0</v>
      </c>
      <c r="J182">
        <v>1</v>
      </c>
      <c r="K182">
        <f>89288.89034
+1.202449548*D182
+33.98426571*E182
+2887.042076*F182
+11104.99019*G182
-8661.454863*H182
+13316.40767*I182
+8380.768503*J182</f>
        <v>790432.23326777504</v>
      </c>
      <c r="L182">
        <f>C182-K182</f>
        <v>-6759.4132677750895</v>
      </c>
    </row>
    <row r="183" spans="1:12">
      <c r="A183" t="s">
        <v>84</v>
      </c>
      <c r="B183" t="s">
        <v>8</v>
      </c>
      <c r="C183">
        <v>946833.54</v>
      </c>
      <c r="D183">
        <v>107970.19</v>
      </c>
      <c r="E183">
        <v>12870</v>
      </c>
      <c r="F183">
        <v>91.7</v>
      </c>
      <c r="G183">
        <v>3.7</v>
      </c>
      <c r="H183">
        <v>1</v>
      </c>
      <c r="I183">
        <v>0</v>
      </c>
      <c r="J183">
        <v>0</v>
      </c>
      <c r="K183">
        <f>89288.89034
+1.202449548*D183
+33.98426571*E183
+2887.042076*F183
+11104.99019*G183
-8661.454863*H183
+13316.40767*I183
+8380.768503*J183</f>
        <v>953663.86339987419</v>
      </c>
      <c r="L183">
        <f>C183-K183</f>
        <v>-6830.3233998741489</v>
      </c>
    </row>
    <row r="184" spans="1:12">
      <c r="A184" t="s">
        <v>98</v>
      </c>
      <c r="B184" t="s">
        <v>8</v>
      </c>
      <c r="C184">
        <v>708985.19</v>
      </c>
      <c r="D184">
        <v>58981.91</v>
      </c>
      <c r="E184">
        <v>7324</v>
      </c>
      <c r="F184">
        <v>95.8</v>
      </c>
      <c r="G184">
        <v>3.5</v>
      </c>
      <c r="H184">
        <v>1</v>
      </c>
      <c r="I184">
        <v>0</v>
      </c>
      <c r="J184">
        <v>0</v>
      </c>
      <c r="K184">
        <f>89288.89034
+1.202449548*D184
+33.98426571*E184
+2887.042076*F184
+11104.99019*G184
-8661.454863*H184
+13316.40767*I184
+8380.768503*J184</f>
        <v>715897.06510251679</v>
      </c>
      <c r="L184">
        <f>C184-K184</f>
        <v>-6911.8751025168458</v>
      </c>
    </row>
    <row r="185" spans="1:12">
      <c r="A185" t="s">
        <v>107</v>
      </c>
      <c r="B185" t="s">
        <v>32</v>
      </c>
      <c r="C185">
        <v>730890.01</v>
      </c>
      <c r="D185">
        <v>52843.75</v>
      </c>
      <c r="E185">
        <v>8268</v>
      </c>
      <c r="F185">
        <v>87.3</v>
      </c>
      <c r="G185">
        <v>4.7</v>
      </c>
      <c r="H185">
        <v>0</v>
      </c>
      <c r="I185">
        <v>0</v>
      </c>
      <c r="J185">
        <v>0</v>
      </c>
      <c r="K185">
        <f>89288.89034
+1.202449548*D185
+33.98426571*E185
+2887.042076*F185
+11104.99019*G185
-8661.454863*H185
+13316.40767*I185
+8380.768503*J185</f>
        <v>738044.96966020495</v>
      </c>
      <c r="L185">
        <f>C185-K185</f>
        <v>-7154.9596602049423</v>
      </c>
    </row>
    <row r="186" spans="1:12">
      <c r="A186" t="s">
        <v>77</v>
      </c>
      <c r="B186" t="s">
        <v>10</v>
      </c>
      <c r="C186">
        <v>819660.59</v>
      </c>
      <c r="D186">
        <v>57948.88</v>
      </c>
      <c r="E186">
        <v>10741</v>
      </c>
      <c r="F186">
        <v>90.1</v>
      </c>
      <c r="G186">
        <v>3.1</v>
      </c>
      <c r="H186">
        <v>0</v>
      </c>
      <c r="I186">
        <v>0</v>
      </c>
      <c r="J186">
        <v>1</v>
      </c>
      <c r="K186">
        <f>89288.89034
+1.202449548*D186
+33.98426571*E186
+2887.042076*F186
+11104.99019*G186
-8661.454863*H186
+13316.40767*I186
+8380.768503*J186</f>
        <v>826923.22203381627</v>
      </c>
      <c r="L186">
        <f>C186-K186</f>
        <v>-7262.6320338163059</v>
      </c>
    </row>
    <row r="187" spans="1:12">
      <c r="A187" t="s">
        <v>59</v>
      </c>
      <c r="B187" t="s">
        <v>8</v>
      </c>
      <c r="C187">
        <v>633494.21</v>
      </c>
      <c r="D187">
        <v>51056.15</v>
      </c>
      <c r="E187">
        <v>5686</v>
      </c>
      <c r="F187">
        <v>89.9</v>
      </c>
      <c r="G187">
        <v>4.2</v>
      </c>
      <c r="H187">
        <v>1</v>
      </c>
      <c r="I187">
        <v>0</v>
      </c>
      <c r="J187">
        <v>0</v>
      </c>
      <c r="K187">
        <f>89288.89034
+1.202449548*D187
+33.98426571*E187
+2887.042076*F187
+11104.99019*G187
-8661.454863*H187
+13316.40767*I187
+8380.768503*J187</f>
        <v>641440.4562245803</v>
      </c>
      <c r="L187">
        <f>C187-K187</f>
        <v>-7946.2462245803326</v>
      </c>
    </row>
    <row r="188" spans="1:12">
      <c r="A188" t="s">
        <v>103</v>
      </c>
      <c r="B188" t="s">
        <v>10</v>
      </c>
      <c r="C188">
        <v>609949</v>
      </c>
      <c r="D188">
        <v>55371.97</v>
      </c>
      <c r="E188">
        <v>4162</v>
      </c>
      <c r="F188">
        <v>92</v>
      </c>
      <c r="G188">
        <v>4.2</v>
      </c>
      <c r="H188">
        <v>0</v>
      </c>
      <c r="I188">
        <v>0</v>
      </c>
      <c r="J188">
        <v>1</v>
      </c>
      <c r="K188">
        <f>89288.89034
+1.202449548*D188
+33.98426571*E188
+2887.042076*F188
+11104.99019*G188
-8661.454863*H188
+13316.40767*I188
+8380.768503*J188</f>
        <v>617943.00281638966</v>
      </c>
      <c r="L188">
        <f>C188-K188</f>
        <v>-7994.0028163896641</v>
      </c>
    </row>
    <row r="189" spans="1:12">
      <c r="A189" t="s">
        <v>100</v>
      </c>
      <c r="B189" t="s">
        <v>10</v>
      </c>
      <c r="C189">
        <v>635837.74</v>
      </c>
      <c r="D189">
        <v>47648.71</v>
      </c>
      <c r="E189">
        <v>5767</v>
      </c>
      <c r="F189">
        <v>89.8</v>
      </c>
      <c r="G189">
        <v>3.1</v>
      </c>
      <c r="H189">
        <v>0</v>
      </c>
      <c r="I189">
        <v>0</v>
      </c>
      <c r="J189">
        <v>1</v>
      </c>
      <c r="K189">
        <f>89288.89034
+1.202449548*D189
+33.98426571*E189
+2887.042076*F189
+11104.99019*G189
-8661.454863*H189
+13316.40767*I189
+8380.768503*J189</f>
        <v>644633.93700865307</v>
      </c>
      <c r="L189">
        <f>C189-K189</f>
        <v>-8796.1970086530782</v>
      </c>
    </row>
    <row r="190" spans="1:12">
      <c r="A190" t="s">
        <v>85</v>
      </c>
      <c r="B190" t="s">
        <v>10</v>
      </c>
      <c r="C190">
        <v>836908.24</v>
      </c>
      <c r="D190">
        <v>47391.09</v>
      </c>
      <c r="E190">
        <v>11224</v>
      </c>
      <c r="F190">
        <v>88.4</v>
      </c>
      <c r="G190">
        <v>4.9000000000000004</v>
      </c>
      <c r="H190">
        <v>0</v>
      </c>
      <c r="I190">
        <v>0</v>
      </c>
      <c r="J190">
        <v>1</v>
      </c>
      <c r="K190">
        <f>89288.89034
+1.202449548*D190
+33.98426571*E190
+2887.042076*F190
+11104.99019*G190
-8661.454863*H190
+13316.40767*I190
+8380.768503*J190</f>
        <v>845723.42337116739</v>
      </c>
      <c r="L190">
        <f>C190-K190</f>
        <v>-8815.1833711673971</v>
      </c>
    </row>
    <row r="191" spans="1:12">
      <c r="A191" t="s">
        <v>56</v>
      </c>
      <c r="B191" t="s">
        <v>10</v>
      </c>
      <c r="C191">
        <v>691113.62</v>
      </c>
      <c r="D191">
        <v>61132.07</v>
      </c>
      <c r="E191">
        <v>6394</v>
      </c>
      <c r="F191">
        <v>91</v>
      </c>
      <c r="G191">
        <v>4.4000000000000004</v>
      </c>
      <c r="H191">
        <v>0</v>
      </c>
      <c r="I191">
        <v>0</v>
      </c>
      <c r="J191">
        <v>1</v>
      </c>
      <c r="K191">
        <f>89288.89034
+1.202449548*D191
+33.98426571*E191
+2887.042076*F191
+11104.99019*G191
-8661.454863*H191
+13316.40767*I191
+8380.768503*J191</f>
        <v>700056.06948454434</v>
      </c>
      <c r="L191">
        <f>C191-K191</f>
        <v>-8942.4494845443405</v>
      </c>
    </row>
    <row r="192" spans="1:12">
      <c r="A192" t="s">
        <v>53</v>
      </c>
      <c r="B192" t="s">
        <v>10</v>
      </c>
      <c r="C192">
        <v>614596.31999999995</v>
      </c>
      <c r="D192">
        <v>78231.91</v>
      </c>
      <c r="E192">
        <v>3788</v>
      </c>
      <c r="F192">
        <v>88.5</v>
      </c>
      <c r="G192">
        <v>4.3</v>
      </c>
      <c r="H192">
        <v>0</v>
      </c>
      <c r="I192">
        <v>0</v>
      </c>
      <c r="J192">
        <v>1</v>
      </c>
      <c r="K192">
        <f>89288.89034
+1.202449548*D192
+33.98426571*E192
+2887.042076*F192
+11104.99019*G192
-8661.454863*H192
+13316.40767*I192
+8380.768503*J192</f>
        <v>623726.66371415672</v>
      </c>
      <c r="L192">
        <f>C192-K192</f>
        <v>-9130.3437141567701</v>
      </c>
    </row>
    <row r="193" spans="1:12">
      <c r="A193" t="s">
        <v>111</v>
      </c>
      <c r="B193" t="s">
        <v>8</v>
      </c>
      <c r="C193">
        <v>726776.22</v>
      </c>
      <c r="D193">
        <v>81902.58</v>
      </c>
      <c r="E193">
        <v>7775</v>
      </c>
      <c r="F193">
        <v>85.2</v>
      </c>
      <c r="G193">
        <v>4.2</v>
      </c>
      <c r="H193">
        <v>1</v>
      </c>
      <c r="I193">
        <v>0</v>
      </c>
      <c r="J193">
        <v>0</v>
      </c>
      <c r="K193">
        <f>89288.89034
+1.202449548*D193
+33.98426571*E193
+2887.042076*F193
+11104.99019*G193
-8661.454863*H193
+13316.40767*I193
+8380.768503*J193</f>
        <v>735955.76534648391</v>
      </c>
      <c r="L193">
        <f>C193-K193</f>
        <v>-9179.5453464839375</v>
      </c>
    </row>
    <row r="194" spans="1:12">
      <c r="A194" t="s">
        <v>105</v>
      </c>
      <c r="B194" t="s">
        <v>10</v>
      </c>
      <c r="C194">
        <v>498970.32</v>
      </c>
      <c r="D194">
        <v>59825.51</v>
      </c>
      <c r="E194">
        <v>1231</v>
      </c>
      <c r="F194">
        <v>84.8</v>
      </c>
      <c r="G194">
        <v>4.7</v>
      </c>
      <c r="H194">
        <v>0</v>
      </c>
      <c r="I194">
        <v>0</v>
      </c>
      <c r="J194">
        <v>1</v>
      </c>
      <c r="K194">
        <f>89288.89034
+1.202449548*D194
+33.98426571*E194
+2887.042076*F194
+11104.99019*G194
-8661.454863*H194
+13316.40767*I194
+8380.768503*J194</f>
        <v>508456.06932817958</v>
      </c>
      <c r="L194">
        <f>C194-K194</f>
        <v>-9485.749328179576</v>
      </c>
    </row>
    <row r="195" spans="1:12">
      <c r="A195" t="s">
        <v>77</v>
      </c>
      <c r="B195" t="s">
        <v>10</v>
      </c>
      <c r="C195">
        <v>761077.08</v>
      </c>
      <c r="D195">
        <v>63010.23</v>
      </c>
      <c r="E195">
        <v>9812</v>
      </c>
      <c r="F195">
        <v>76.8</v>
      </c>
      <c r="G195">
        <v>3.8</v>
      </c>
      <c r="H195">
        <v>0</v>
      </c>
      <c r="I195">
        <v>0</v>
      </c>
      <c r="J195">
        <v>1</v>
      </c>
      <c r="K195">
        <f>89288.89034
+1.202449548*D195
+33.98426571*E195
+2887.042076*F195
+11104.99019*G195
-8661.454863*H195
+13316.40767*I195
+8380.768503*J195</f>
        <v>770813.69073119608</v>
      </c>
      <c r="L195">
        <f>C195-K195</f>
        <v>-9736.6107311961241</v>
      </c>
    </row>
    <row r="196" spans="1:12">
      <c r="A196" t="s">
        <v>91</v>
      </c>
      <c r="B196" t="s">
        <v>10</v>
      </c>
      <c r="C196">
        <v>810355.02</v>
      </c>
      <c r="D196">
        <v>72961.95</v>
      </c>
      <c r="E196">
        <v>9996</v>
      </c>
      <c r="F196">
        <v>89.1</v>
      </c>
      <c r="G196">
        <v>3.4</v>
      </c>
      <c r="H196">
        <v>0</v>
      </c>
      <c r="I196">
        <v>0</v>
      </c>
      <c r="J196">
        <v>1</v>
      </c>
      <c r="K196">
        <f>89288.89034
+1.202449548*D196
+33.98426571*E196
+2887.042076*F196
+11104.99019*G196
-8661.454863*H196
+13316.40767*I196
+8380.768503*J196</f>
        <v>820101.85829645873</v>
      </c>
      <c r="L196">
        <f>C196-K196</f>
        <v>-9746.8382964587072</v>
      </c>
    </row>
    <row r="197" spans="1:12">
      <c r="A197" t="s">
        <v>104</v>
      </c>
      <c r="B197" t="s">
        <v>8</v>
      </c>
      <c r="C197">
        <v>702068.92</v>
      </c>
      <c r="D197">
        <v>54080.91</v>
      </c>
      <c r="E197">
        <v>7083</v>
      </c>
      <c r="F197">
        <v>97</v>
      </c>
      <c r="G197">
        <v>4.0999999999999996</v>
      </c>
      <c r="H197">
        <v>1</v>
      </c>
      <c r="I197">
        <v>0</v>
      </c>
      <c r="J197">
        <v>0</v>
      </c>
      <c r="K197">
        <f>89288.89034
+1.202449548*D197
+33.98426571*E197
+2887.042076*F197
+11104.99019*G197
-8661.454863*H197
+13316.40767*I197
+8380.768503*J197</f>
        <v>711941.09643685876</v>
      </c>
      <c r="L197">
        <f>C197-K197</f>
        <v>-9872.1764368587174</v>
      </c>
    </row>
    <row r="198" spans="1:12">
      <c r="A198" t="s">
        <v>102</v>
      </c>
      <c r="B198" t="s">
        <v>9</v>
      </c>
      <c r="C198">
        <v>497439.82</v>
      </c>
      <c r="D198">
        <v>18599.21</v>
      </c>
      <c r="E198">
        <v>3027</v>
      </c>
      <c r="F198">
        <v>80.900000000000006</v>
      </c>
      <c r="G198">
        <v>4.2</v>
      </c>
      <c r="H198">
        <v>0</v>
      </c>
      <c r="I198">
        <v>1</v>
      </c>
      <c r="J198">
        <v>0</v>
      </c>
      <c r="K198">
        <f>89288.89034
+1.202449548*D198
+33.98426571*E198
+2887.042076*F198
+11104.99019*G198
-8661.454863*H198
+13316.40767*I198
+8380.768503*J198</f>
        <v>508042.94471822714</v>
      </c>
      <c r="L198">
        <f>C198-K198</f>
        <v>-10603.124718227133</v>
      </c>
    </row>
    <row r="199" spans="1:12">
      <c r="A199" t="s">
        <v>79</v>
      </c>
      <c r="B199" t="s">
        <v>8</v>
      </c>
      <c r="C199">
        <v>443275.59</v>
      </c>
      <c r="D199">
        <v>37705.879999999997</v>
      </c>
      <c r="E199">
        <v>1268</v>
      </c>
      <c r="F199">
        <v>84.1</v>
      </c>
      <c r="G199">
        <v>3.8</v>
      </c>
      <c r="H199">
        <v>1</v>
      </c>
      <c r="I199">
        <v>0</v>
      </c>
      <c r="J199">
        <v>0</v>
      </c>
      <c r="K199">
        <f>89288.89034
+1.202449548*D199
+33.98426571*E199
+2887.042076*F199
+11104.99019*G199
-8661.454863*H199
+13316.40767*I199
+8380.768503*J199</f>
        <v>454058.10407382221</v>
      </c>
      <c r="L199">
        <f>C199-K199</f>
        <v>-10782.514073822182</v>
      </c>
    </row>
    <row r="200" spans="1:12">
      <c r="A200" t="s">
        <v>75</v>
      </c>
      <c r="B200" t="s">
        <v>8</v>
      </c>
      <c r="C200">
        <v>804264</v>
      </c>
      <c r="D200">
        <v>63043.94</v>
      </c>
      <c r="E200">
        <v>10402</v>
      </c>
      <c r="F200">
        <v>93.9</v>
      </c>
      <c r="G200">
        <v>3.1</v>
      </c>
      <c r="H200">
        <v>1</v>
      </c>
      <c r="I200">
        <v>0</v>
      </c>
      <c r="J200">
        <v>0</v>
      </c>
      <c r="K200">
        <f>89288.89034
+1.202449548*D200
+33.98426571*E200
+2887.042076*F200
+11104.99019*G200
-8661.454863*H200
+13316.40767*I200
+8380.768503*J200</f>
        <v>815457.64507495926</v>
      </c>
      <c r="L200">
        <f>C200-K200</f>
        <v>-11193.645074959262</v>
      </c>
    </row>
    <row r="201" spans="1:12">
      <c r="A201" t="s">
        <v>82</v>
      </c>
      <c r="B201" t="s">
        <v>8</v>
      </c>
      <c r="C201">
        <v>650795.49</v>
      </c>
      <c r="D201">
        <v>64104.28</v>
      </c>
      <c r="E201">
        <v>6015</v>
      </c>
      <c r="F201">
        <v>88.7</v>
      </c>
      <c r="G201">
        <v>4</v>
      </c>
      <c r="H201">
        <v>1</v>
      </c>
      <c r="I201">
        <v>0</v>
      </c>
      <c r="J201">
        <v>0</v>
      </c>
      <c r="K201">
        <f>89288.89034
+1.202449548*D201
+33.98426571*E201
+2887.042076*F201
+11104.99019*G201
-8661.454863*H201
+13316.40767*I201
+8380.768503*J201</f>
        <v>662625.54913471558</v>
      </c>
      <c r="L201">
        <f>C201-K201</f>
        <v>-11830.059134715586</v>
      </c>
    </row>
    <row r="202" spans="1:12">
      <c r="A202" t="s">
        <v>39</v>
      </c>
      <c r="B202" t="s">
        <v>8</v>
      </c>
      <c r="C202">
        <v>500173.02</v>
      </c>
      <c r="D202">
        <v>44970.080000000002</v>
      </c>
      <c r="E202">
        <v>2471</v>
      </c>
      <c r="F202">
        <v>87.6</v>
      </c>
      <c r="G202">
        <v>3.7</v>
      </c>
      <c r="H202">
        <v>1</v>
      </c>
      <c r="I202">
        <v>0</v>
      </c>
      <c r="J202">
        <v>0</v>
      </c>
      <c r="K202">
        <f>89288.89034
+1.202449548*D202
+33.98426571*E202
+2887.042076*F202
+11104.99019*G202
-8661.454863*H202
+13316.40767*I202
+8380.768503*J202</f>
        <v>512670.15797653381</v>
      </c>
      <c r="L202">
        <f>C202-K202</f>
        <v>-12497.137976533792</v>
      </c>
    </row>
    <row r="203" spans="1:12">
      <c r="A203" t="s">
        <v>34</v>
      </c>
      <c r="B203" t="s">
        <v>8</v>
      </c>
      <c r="C203">
        <v>746501.09</v>
      </c>
      <c r="D203">
        <v>59909.51</v>
      </c>
      <c r="E203">
        <v>8895</v>
      </c>
      <c r="F203">
        <v>88.8</v>
      </c>
      <c r="G203">
        <v>4.3</v>
      </c>
      <c r="H203">
        <v>1</v>
      </c>
      <c r="I203">
        <v>0</v>
      </c>
      <c r="J203">
        <v>0</v>
      </c>
      <c r="K203">
        <f>89288.89034
+1.202449548*D203
+33.98426571*E203
+2887.042076*F203
+11104.99019*G203
-8661.454863*H203
+13316.40767*I203
+8380.768503*J203</f>
        <v>759076.43635365157</v>
      </c>
      <c r="L203">
        <f>C203-K203</f>
        <v>-12575.346353651606</v>
      </c>
    </row>
    <row r="204" spans="1:12">
      <c r="A204" t="s">
        <v>64</v>
      </c>
      <c r="B204" t="s">
        <v>8</v>
      </c>
      <c r="C204">
        <v>811452.72</v>
      </c>
      <c r="D204">
        <v>66455.8</v>
      </c>
      <c r="E204">
        <v>10836</v>
      </c>
      <c r="F204">
        <v>85</v>
      </c>
      <c r="G204">
        <v>4.5</v>
      </c>
      <c r="H204">
        <v>1</v>
      </c>
      <c r="I204">
        <v>0</v>
      </c>
      <c r="J204">
        <v>0</v>
      </c>
      <c r="K204">
        <f>89288.89034
+1.202449548*D204
+33.98426571*E204
+2887.042076*F204
+11104.99019*G204
-8661.454863*H204
+13316.40767*I204
+8380.768503*J204</f>
        <v>824161.71769753844</v>
      </c>
      <c r="L204">
        <f>C204-K204</f>
        <v>-12708.997697538463</v>
      </c>
    </row>
    <row r="205" spans="1:12">
      <c r="A205" t="s">
        <v>88</v>
      </c>
      <c r="B205" t="s">
        <v>8</v>
      </c>
      <c r="C205">
        <v>527681.56000000006</v>
      </c>
      <c r="D205">
        <v>42932.02</v>
      </c>
      <c r="E205">
        <v>3872</v>
      </c>
      <c r="F205">
        <v>83.2</v>
      </c>
      <c r="G205">
        <v>3.3</v>
      </c>
      <c r="H205">
        <v>1</v>
      </c>
      <c r="I205">
        <v>0</v>
      </c>
      <c r="J205">
        <v>0</v>
      </c>
      <c r="K205">
        <f>89288.89034
+1.202449548*D205
+33.98426571*E205
+2887.042076*F205
+11104.99019*G205
-8661.454863*H205
+13316.40767*I205
+8380.768503*J205</f>
        <v>540686.468700047</v>
      </c>
      <c r="L205">
        <f>C205-K205</f>
        <v>-13004.908700046944</v>
      </c>
    </row>
    <row r="206" spans="1:12">
      <c r="A206" t="s">
        <v>53</v>
      </c>
      <c r="B206" t="s">
        <v>10</v>
      </c>
      <c r="C206">
        <v>450711.92</v>
      </c>
      <c r="D206">
        <v>18996.32</v>
      </c>
      <c r="E206">
        <v>1260</v>
      </c>
      <c r="F206">
        <v>86.4</v>
      </c>
      <c r="G206">
        <v>4.5999999999999996</v>
      </c>
      <c r="H206">
        <v>0</v>
      </c>
      <c r="I206">
        <v>0</v>
      </c>
      <c r="J206">
        <v>1</v>
      </c>
      <c r="K206">
        <f>89288.89034
+1.202449548*D206
+33.98426571*E206
+2887.042076*F206
+11104.99019*G206
-8661.454863*H206
+13316.40767*I206
+8380.768503*J206</f>
        <v>463855.3402756633</v>
      </c>
      <c r="L206">
        <f>C206-K206</f>
        <v>-13143.420275663317</v>
      </c>
    </row>
    <row r="207" spans="1:12">
      <c r="A207" t="s">
        <v>80</v>
      </c>
      <c r="B207" t="s">
        <v>10</v>
      </c>
      <c r="C207">
        <v>611924.27</v>
      </c>
      <c r="D207">
        <v>51133.43</v>
      </c>
      <c r="E207">
        <v>5150</v>
      </c>
      <c r="F207">
        <v>88.5</v>
      </c>
      <c r="G207">
        <v>3.2</v>
      </c>
      <c r="H207">
        <v>0</v>
      </c>
      <c r="I207">
        <v>0</v>
      </c>
      <c r="J207">
        <v>1</v>
      </c>
      <c r="K207">
        <f>89288.89034
+1.202449548*D207
+33.98426571*E207
+2887.042076*F207
+11104.99019*G207
-8661.454863*H207
+13316.40767*I207
+8380.768503*J207</f>
        <v>625213.18937468971</v>
      </c>
      <c r="L207">
        <f>C207-K207</f>
        <v>-13288.919374689693</v>
      </c>
    </row>
    <row r="208" spans="1:12">
      <c r="A208" t="s">
        <v>51</v>
      </c>
      <c r="B208" t="s">
        <v>9</v>
      </c>
      <c r="C208">
        <v>643657.47</v>
      </c>
      <c r="D208">
        <v>56973.18</v>
      </c>
      <c r="E208">
        <v>6662</v>
      </c>
      <c r="F208">
        <v>77.7</v>
      </c>
      <c r="G208">
        <v>3.2</v>
      </c>
      <c r="H208">
        <v>0</v>
      </c>
      <c r="I208">
        <v>1</v>
      </c>
      <c r="J208">
        <v>0</v>
      </c>
      <c r="K208">
        <f>89288.89034
+1.202449548*D208
+33.98426571*E208
+2887.042076*F208
+11104.99019*G208
-8661.454863*H208
+13316.40767*I208
+8380.768503*J208</f>
        <v>657374.98862234259</v>
      </c>
      <c r="L208">
        <f>C208-K208</f>
        <v>-13717.518622342614</v>
      </c>
    </row>
    <row r="209" spans="1:12">
      <c r="A209" t="s">
        <v>74</v>
      </c>
      <c r="B209" t="s">
        <v>8</v>
      </c>
      <c r="C209">
        <v>679731.57</v>
      </c>
      <c r="D209">
        <v>36606.51</v>
      </c>
      <c r="E209">
        <v>7671</v>
      </c>
      <c r="F209">
        <v>89.8</v>
      </c>
      <c r="G209">
        <v>4.4000000000000004</v>
      </c>
      <c r="H209">
        <v>1</v>
      </c>
      <c r="I209">
        <v>0</v>
      </c>
      <c r="J209">
        <v>0</v>
      </c>
      <c r="K209">
        <f>89288.89034
+1.202449548*D209
+33.98426571*E209
+2887.042076*F209
+11104.99019*G209
-8661.454863*H209
+13316.40767*I209
+8380.768503*J209</f>
        <v>693456.55440256756</v>
      </c>
      <c r="L209">
        <f>C209-K209</f>
        <v>-13724.984402567614</v>
      </c>
    </row>
    <row r="210" spans="1:12">
      <c r="A210" t="s">
        <v>101</v>
      </c>
      <c r="B210" t="s">
        <v>9</v>
      </c>
      <c r="C210">
        <v>756619.77</v>
      </c>
      <c r="D210">
        <v>48609.41</v>
      </c>
      <c r="E210">
        <v>9324</v>
      </c>
      <c r="F210">
        <v>86.5</v>
      </c>
      <c r="G210">
        <v>3.9</v>
      </c>
      <c r="H210">
        <v>0</v>
      </c>
      <c r="I210">
        <v>1</v>
      </c>
      <c r="J210">
        <v>0</v>
      </c>
      <c r="K210">
        <f>89288.89034
+1.202449548*D210
+33.98426571*E210
+2887.042076*F210
+11104.99019*G210
-8661.454863*H210
+13316.40767*I210
+8380.768503*J210</f>
        <v>770963.55588808667</v>
      </c>
      <c r="L210">
        <f>C210-K210</f>
        <v>-14343.785888086655</v>
      </c>
    </row>
    <row r="211" spans="1:12">
      <c r="A211" t="s">
        <v>47</v>
      </c>
      <c r="B211" t="s">
        <v>9</v>
      </c>
      <c r="C211">
        <v>572011.19999999995</v>
      </c>
      <c r="D211">
        <v>50343.19</v>
      </c>
      <c r="E211">
        <v>3845</v>
      </c>
      <c r="F211">
        <v>88.7</v>
      </c>
      <c r="G211">
        <v>3.3</v>
      </c>
      <c r="H211">
        <v>0</v>
      </c>
      <c r="I211">
        <v>1</v>
      </c>
      <c r="J211">
        <v>0</v>
      </c>
      <c r="K211">
        <f>89288.89034
+1.202449548*D211
+33.98426571*E211
+2887.042076*F211
+11104.99019*G211
-8661.454863*H211
+13316.40767*I211
+8380.768503*J211</f>
        <v>586537.04549352801</v>
      </c>
      <c r="L211">
        <f>C211-K211</f>
        <v>-14525.845493528061</v>
      </c>
    </row>
    <row r="212" spans="1:12">
      <c r="A212" t="s">
        <v>107</v>
      </c>
      <c r="B212" t="s">
        <v>32</v>
      </c>
      <c r="C212">
        <v>703812.99</v>
      </c>
      <c r="D212">
        <v>40647.67</v>
      </c>
      <c r="E212">
        <v>8252</v>
      </c>
      <c r="F212">
        <v>88.2</v>
      </c>
      <c r="G212">
        <v>4.0999999999999996</v>
      </c>
      <c r="H212">
        <v>0</v>
      </c>
      <c r="I212">
        <v>0</v>
      </c>
      <c r="J212">
        <v>0</v>
      </c>
      <c r="K212">
        <f>89288.89034
+1.202449548*D212
+33.98426571*E212
+2887.042076*F212
+11104.99019*G212
-8661.454863*H212
+13316.40767*I212
+8380.768503*J212</f>
        <v>718771.39427987323</v>
      </c>
      <c r="L212">
        <f>C212-K212</f>
        <v>-14958.404279873241</v>
      </c>
    </row>
    <row r="213" spans="1:12">
      <c r="A213" t="s">
        <v>49</v>
      </c>
      <c r="B213" t="s">
        <v>8</v>
      </c>
      <c r="C213">
        <v>479050.5</v>
      </c>
      <c r="D213">
        <v>36813.449999999997</v>
      </c>
      <c r="E213">
        <v>2834</v>
      </c>
      <c r="F213">
        <v>81.8</v>
      </c>
      <c r="G213">
        <v>3.3</v>
      </c>
      <c r="H213">
        <v>1</v>
      </c>
      <c r="I213">
        <v>0</v>
      </c>
      <c r="J213">
        <v>0</v>
      </c>
      <c r="K213">
        <f>89288.89034
+1.202449548*D213
+33.98426571*E213
+2887.042076*F213
+11104.99019*G213
-8661.454863*H213
+13316.40767*I213
+8380.768503*J213</f>
        <v>494011.6702557606</v>
      </c>
      <c r="L213">
        <f>C213-K213</f>
        <v>-14961.170255760604</v>
      </c>
    </row>
    <row r="214" spans="1:12">
      <c r="A214" t="s">
        <v>37</v>
      </c>
      <c r="B214" t="s">
        <v>10</v>
      </c>
      <c r="C214">
        <v>811771.14</v>
      </c>
      <c r="D214">
        <v>57696.69</v>
      </c>
      <c r="E214">
        <v>10218</v>
      </c>
      <c r="F214">
        <v>94.8</v>
      </c>
      <c r="G214">
        <v>3.5</v>
      </c>
      <c r="H214">
        <v>0</v>
      </c>
      <c r="I214">
        <v>0</v>
      </c>
      <c r="J214">
        <v>1</v>
      </c>
      <c r="K214">
        <f>89288.89034
+1.202449548*D214
+33.98426571*E214
+2887.042076*F214
+11104.99019*G214
-8661.454863*H214
+13316.40767*I214
+8380.768503*J214</f>
        <v>826857.29914917611</v>
      </c>
      <c r="L214">
        <f>C214-K214</f>
        <v>-15086.159149176092</v>
      </c>
    </row>
    <row r="215" spans="1:12">
      <c r="A215" t="s">
        <v>72</v>
      </c>
      <c r="B215" t="s">
        <v>9</v>
      </c>
      <c r="C215">
        <v>692008.64</v>
      </c>
      <c r="D215">
        <v>66870.62</v>
      </c>
      <c r="E215">
        <v>6055</v>
      </c>
      <c r="F215">
        <v>93.8</v>
      </c>
      <c r="G215">
        <v>4.3</v>
      </c>
      <c r="H215">
        <v>0</v>
      </c>
      <c r="I215">
        <v>1</v>
      </c>
      <c r="J215">
        <v>0</v>
      </c>
      <c r="K215">
        <f>89288.89034
+1.202449548*D215
+33.98426571*E215
+2887.042076*F215
+11104.99019*G215
-8661.454863*H215
+13316.40767*I215
+8380.768503*J215</f>
        <v>707344.57822332974</v>
      </c>
      <c r="L215">
        <f>C215-K215</f>
        <v>-15335.938223329722</v>
      </c>
    </row>
    <row r="216" spans="1:12">
      <c r="A216" t="s">
        <v>61</v>
      </c>
      <c r="B216" t="s">
        <v>10</v>
      </c>
      <c r="C216">
        <v>714942.43</v>
      </c>
      <c r="D216">
        <v>43685.14</v>
      </c>
      <c r="E216">
        <v>7821</v>
      </c>
      <c r="F216">
        <v>91</v>
      </c>
      <c r="G216">
        <v>4.7</v>
      </c>
      <c r="H216">
        <v>0</v>
      </c>
      <c r="I216">
        <v>0</v>
      </c>
      <c r="J216">
        <v>1</v>
      </c>
      <c r="K216">
        <f>89288.89034
+1.202449548*D216
+33.98426571*E216
+2887.042076*F216
+11104.99019*G216
-8661.454863*H216
+13316.40767*I216
+8380.768503*J216</f>
        <v>730904.06061722687</v>
      </c>
      <c r="L216">
        <f>C216-K216</f>
        <v>-15961.630617226823</v>
      </c>
    </row>
    <row r="217" spans="1:12">
      <c r="A217" t="s">
        <v>31</v>
      </c>
      <c r="B217" t="s">
        <v>32</v>
      </c>
      <c r="C217">
        <v>723060.76</v>
      </c>
      <c r="D217">
        <v>34285.21</v>
      </c>
      <c r="E217">
        <v>9172</v>
      </c>
      <c r="F217">
        <v>88.3</v>
      </c>
      <c r="G217">
        <v>3.8</v>
      </c>
      <c r="H217">
        <v>0</v>
      </c>
      <c r="I217">
        <v>0</v>
      </c>
      <c r="J217">
        <v>0</v>
      </c>
      <c r="K217">
        <f>89288.89034
+1.202449548*D217
+33.98426571*E217
+2887.042076*F217
+11104.99019*G217
-8661.454863*H217
+13316.40767*I217
+8380.768503*J217</f>
        <v>739343.5887325051</v>
      </c>
      <c r="L217">
        <f>C217-K217</f>
        <v>-16282.828732505091</v>
      </c>
    </row>
    <row r="218" spans="1:12">
      <c r="A218" t="s">
        <v>70</v>
      </c>
      <c r="B218" t="s">
        <v>8</v>
      </c>
      <c r="C218">
        <v>785028.25</v>
      </c>
      <c r="D218">
        <v>75645.23</v>
      </c>
      <c r="E218">
        <v>9674</v>
      </c>
      <c r="F218">
        <v>87.4</v>
      </c>
      <c r="G218">
        <v>4.5</v>
      </c>
      <c r="H218">
        <v>1</v>
      </c>
      <c r="I218">
        <v>0</v>
      </c>
      <c r="J218">
        <v>0</v>
      </c>
      <c r="K218">
        <f>89288.89034
+1.202449548*D218
+33.98426571*E218
+2887.042076*F218
+11104.99019*G218
-8661.454863*H218
+13316.40767*I218
+8380.768503*J218</f>
        <v>802650.72787479614</v>
      </c>
      <c r="L218">
        <f>C218-K218</f>
        <v>-17622.477874796139</v>
      </c>
    </row>
    <row r="219" spans="1:12">
      <c r="A219" t="s">
        <v>103</v>
      </c>
      <c r="B219" t="s">
        <v>10</v>
      </c>
      <c r="C219">
        <v>633009.53</v>
      </c>
      <c r="D219">
        <v>74539.14</v>
      </c>
      <c r="E219">
        <v>4487</v>
      </c>
      <c r="F219">
        <v>90.4</v>
      </c>
      <c r="G219">
        <v>4.5</v>
      </c>
      <c r="H219">
        <v>0</v>
      </c>
      <c r="I219">
        <v>0</v>
      </c>
      <c r="J219">
        <v>1</v>
      </c>
      <c r="K219">
        <f>89288.89034
+1.202449548*D219
+33.98426571*E219
+2887.042076*F219
+11104.99019*G219
-8661.454863*H219
+13316.40767*I219
+8380.768503*J219</f>
        <v>650747.67381047877</v>
      </c>
      <c r="L219">
        <f>C219-K219</f>
        <v>-17738.143810478738</v>
      </c>
    </row>
    <row r="220" spans="1:12">
      <c r="A220" t="s">
        <v>71</v>
      </c>
      <c r="B220" t="s">
        <v>32</v>
      </c>
      <c r="C220">
        <v>602002.31999999995</v>
      </c>
      <c r="D220">
        <v>41863.08</v>
      </c>
      <c r="E220">
        <v>5400</v>
      </c>
      <c r="F220">
        <v>91.6</v>
      </c>
      <c r="G220">
        <v>3</v>
      </c>
      <c r="H220">
        <v>0</v>
      </c>
      <c r="I220">
        <v>0</v>
      </c>
      <c r="J220">
        <v>0</v>
      </c>
      <c r="K220">
        <f>89288.89034
+1.202449548*D220
+33.98426571*E220
+2887.042076*F220
+11104.99019*G220
-8661.454863*H220
+13316.40767*I220
+8380.768503*J220</f>
        <v>620910.19152948784</v>
      </c>
      <c r="L220">
        <f>C220-K220</f>
        <v>-18907.871529487893</v>
      </c>
    </row>
    <row r="221" spans="1:12">
      <c r="A221" t="s">
        <v>63</v>
      </c>
      <c r="B221" t="s">
        <v>9</v>
      </c>
      <c r="C221">
        <v>697155.3</v>
      </c>
      <c r="D221">
        <v>37828.5</v>
      </c>
      <c r="E221">
        <v>8221</v>
      </c>
      <c r="F221">
        <v>81.5</v>
      </c>
      <c r="G221">
        <v>4.8</v>
      </c>
      <c r="H221">
        <v>0</v>
      </c>
      <c r="I221">
        <v>1</v>
      </c>
      <c r="J221">
        <v>0</v>
      </c>
      <c r="K221">
        <f>89288.89034
+1.202449548*D221
+33.98426571*E221
+2887.042076*F221
+11104.99019*G221
-8661.454863*H221
+13316.40767*I221
+8380.768503*J221</f>
        <v>716074.69124442805</v>
      </c>
      <c r="L221">
        <f>C221-K221</f>
        <v>-18919.391244427999</v>
      </c>
    </row>
    <row r="222" spans="1:12">
      <c r="A222" t="s">
        <v>29</v>
      </c>
      <c r="B222" t="s">
        <v>8</v>
      </c>
      <c r="C222">
        <v>761835.34</v>
      </c>
      <c r="D222">
        <v>64811.21</v>
      </c>
      <c r="E222">
        <v>9792</v>
      </c>
      <c r="F222">
        <v>84.2</v>
      </c>
      <c r="G222">
        <v>4.2</v>
      </c>
      <c r="H222">
        <v>1</v>
      </c>
      <c r="I222">
        <v>0</v>
      </c>
      <c r="J222">
        <v>0</v>
      </c>
      <c r="K222">
        <f>89288.89034
+1.202449548*D222
+33.98426571*E222
+2887.042076*F222
+11104.99019*G222
-8661.454863*H222
+13316.40767*I222
+8380.768503*J222</f>
        <v>781063.47707635316</v>
      </c>
      <c r="L222">
        <f>C222-K222</f>
        <v>-19228.137076353189</v>
      </c>
    </row>
    <row r="223" spans="1:12">
      <c r="A223" t="s">
        <v>73</v>
      </c>
      <c r="B223" t="s">
        <v>32</v>
      </c>
      <c r="C223">
        <v>706285.52</v>
      </c>
      <c r="D223">
        <v>35303.300000000003</v>
      </c>
      <c r="E223">
        <v>8789</v>
      </c>
      <c r="F223">
        <v>86.1</v>
      </c>
      <c r="G223">
        <v>4.2</v>
      </c>
      <c r="H223">
        <v>0</v>
      </c>
      <c r="I223">
        <v>0</v>
      </c>
      <c r="J223">
        <v>0</v>
      </c>
      <c r="K223">
        <f>89288.89034
+1.202449548*D223
+33.98426571*E223
+2887.042076*F223
+11104.99019*G223
-8661.454863*H223
+13316.40767*I223
+8380.768503*J223</f>
        <v>725642.32033469842</v>
      </c>
      <c r="L223">
        <f>C223-K223</f>
        <v>-19356.800334698404</v>
      </c>
    </row>
    <row r="224" spans="1:12">
      <c r="A224" t="s">
        <v>106</v>
      </c>
      <c r="B224" t="s">
        <v>10</v>
      </c>
      <c r="C224">
        <v>599017.32999999996</v>
      </c>
      <c r="D224">
        <v>46174.7</v>
      </c>
      <c r="E224">
        <v>4898</v>
      </c>
      <c r="F224">
        <v>91.7</v>
      </c>
      <c r="G224">
        <v>3.1</v>
      </c>
      <c r="H224">
        <v>0</v>
      </c>
      <c r="I224">
        <v>0</v>
      </c>
      <c r="J224">
        <v>1</v>
      </c>
      <c r="K224">
        <f>89288.89034
+1.202449548*D224
+33.98426571*E224
+2887.042076*F224
+11104.99019*G224
-8661.454863*H224
+13316.40767*I224
+8380.768503*J224</f>
        <v>618814.56739281572</v>
      </c>
      <c r="L224">
        <f>C224-K224</f>
        <v>-19797.237392815761</v>
      </c>
    </row>
    <row r="225" spans="1:12">
      <c r="A225" t="s">
        <v>78</v>
      </c>
      <c r="B225" t="s">
        <v>32</v>
      </c>
      <c r="C225">
        <v>681855.56</v>
      </c>
      <c r="D225">
        <v>71941.62</v>
      </c>
      <c r="E225">
        <v>6084</v>
      </c>
      <c r="F225">
        <v>93.7</v>
      </c>
      <c r="G225">
        <v>4.4000000000000004</v>
      </c>
      <c r="H225">
        <v>0</v>
      </c>
      <c r="I225">
        <v>0</v>
      </c>
      <c r="J225">
        <v>0</v>
      </c>
      <c r="K225">
        <f>89288.89034
+1.202449548*D225
+33.98426571*E225
+2887.042076*F225
+11104.99019*G225
-8661.454863*H225
+13316.40767*I225
+8380.768503*J225</f>
        <v>701933.13072822767</v>
      </c>
      <c r="L225">
        <f>C225-K225</f>
        <v>-20077.570728227613</v>
      </c>
    </row>
    <row r="226" spans="1:12">
      <c r="A226" t="s">
        <v>75</v>
      </c>
      <c r="B226" t="s">
        <v>8</v>
      </c>
      <c r="C226">
        <v>758138.29</v>
      </c>
      <c r="D226">
        <v>68040.149999999994</v>
      </c>
      <c r="E226">
        <v>9826</v>
      </c>
      <c r="F226">
        <v>83.9</v>
      </c>
      <c r="G226">
        <v>3.6</v>
      </c>
      <c r="H226">
        <v>1</v>
      </c>
      <c r="I226">
        <v>0</v>
      </c>
      <c r="J226">
        <v>0</v>
      </c>
      <c r="K226">
        <f>89288.89034
+1.202449548*D226
+33.98426571*E226
+2887.042076*F226
+11104.99019*G226
-8661.454863*H226
+13316.40767*I226
+8380.768503*J226</f>
        <v>778572.47281721223</v>
      </c>
      <c r="L226">
        <f>C226-K226</f>
        <v>-20434.18281721219</v>
      </c>
    </row>
    <row r="227" spans="1:12">
      <c r="A227" t="s">
        <v>93</v>
      </c>
      <c r="B227" t="s">
        <v>8</v>
      </c>
      <c r="C227">
        <v>679230.86</v>
      </c>
      <c r="D227">
        <v>57390.04</v>
      </c>
      <c r="E227">
        <v>7374</v>
      </c>
      <c r="F227">
        <v>91.8</v>
      </c>
      <c r="G227">
        <v>3.1</v>
      </c>
      <c r="H227">
        <v>1</v>
      </c>
      <c r="I227">
        <v>0</v>
      </c>
      <c r="J227">
        <v>0</v>
      </c>
      <c r="K227">
        <f>89288.89034
+1.202449548*D227
+33.98426571*E227
+2887.042076*F227
+11104.99019*G227
-8661.454863*H227
+13316.40767*I227
+8380.768503*J227</f>
        <v>699691.97064604203</v>
      </c>
      <c r="L227">
        <f>C227-K227</f>
        <v>-20461.110646042041</v>
      </c>
    </row>
    <row r="228" spans="1:12">
      <c r="A228" t="s">
        <v>36</v>
      </c>
      <c r="B228" t="s">
        <v>32</v>
      </c>
      <c r="C228">
        <v>491905.13</v>
      </c>
      <c r="D228">
        <v>33518.879999999997</v>
      </c>
      <c r="E228">
        <v>2121</v>
      </c>
      <c r="F228">
        <v>88.5</v>
      </c>
      <c r="G228">
        <v>5</v>
      </c>
      <c r="H228">
        <v>0</v>
      </c>
      <c r="I228">
        <v>0</v>
      </c>
      <c r="J228">
        <v>0</v>
      </c>
      <c r="K228">
        <f>89288.89034
+1.202449548*D228
+33.98426571*E228
+2887.042076*F228
+11104.99019*G228
-8661.454863*H228
+13316.40767*I228
+8380.768503*J228</f>
        <v>512702.4546923762</v>
      </c>
      <c r="L228">
        <f>C228-K228</f>
        <v>-20797.324692376191</v>
      </c>
    </row>
    <row r="229" spans="1:12">
      <c r="A229" t="s">
        <v>48</v>
      </c>
      <c r="B229" t="s">
        <v>10</v>
      </c>
      <c r="C229">
        <v>717141.55</v>
      </c>
      <c r="D229">
        <v>51148.69</v>
      </c>
      <c r="E229">
        <v>7940</v>
      </c>
      <c r="F229">
        <v>93.3</v>
      </c>
      <c r="G229">
        <v>3.6</v>
      </c>
      <c r="H229">
        <v>0</v>
      </c>
      <c r="I229">
        <v>0</v>
      </c>
      <c r="J229">
        <v>1</v>
      </c>
      <c r="K229">
        <f>89288.89034
+1.202449548*D229
+33.98426571*E229
+2887.042076*F229
+11104.99019*G229
-8661.454863*H229
+13316.40767*I229
+8380.768503*J229</f>
        <v>738347.4381264922</v>
      </c>
      <c r="L229">
        <f>C229-K229</f>
        <v>-21205.888126492151</v>
      </c>
    </row>
    <row r="230" spans="1:12">
      <c r="A230" t="s">
        <v>103</v>
      </c>
      <c r="B230" t="s">
        <v>10</v>
      </c>
      <c r="C230">
        <v>636775.66</v>
      </c>
      <c r="D230">
        <v>60183.06</v>
      </c>
      <c r="E230">
        <v>5562</v>
      </c>
      <c r="F230">
        <v>86.3</v>
      </c>
      <c r="G230">
        <v>4.5</v>
      </c>
      <c r="H230">
        <v>0</v>
      </c>
      <c r="I230">
        <v>0</v>
      </c>
      <c r="J230">
        <v>1</v>
      </c>
      <c r="K230">
        <f>89288.89034
+1.202449548*D230
+33.98426571*E230
+2887.042076*F230
+11104.99019*G230
-8661.454863*H230
+13316.40767*I230
+8380.768503*J230</f>
        <v>658181.42503007688</v>
      </c>
      <c r="L230">
        <f>C230-K230</f>
        <v>-21405.765030076844</v>
      </c>
    </row>
    <row r="231" spans="1:12">
      <c r="A231" t="s">
        <v>48</v>
      </c>
      <c r="B231" t="s">
        <v>10</v>
      </c>
      <c r="C231">
        <v>784502.68</v>
      </c>
      <c r="D231">
        <v>70040.31</v>
      </c>
      <c r="E231">
        <v>9175</v>
      </c>
      <c r="F231">
        <v>95.1</v>
      </c>
      <c r="G231">
        <v>3.4</v>
      </c>
      <c r="H231">
        <v>0</v>
      </c>
      <c r="I231">
        <v>0</v>
      </c>
      <c r="J231">
        <v>1</v>
      </c>
      <c r="K231">
        <f>89288.89034
+1.202449548*D231
+33.98426571*E231
+2887.042076*F231
+11104.99019*G231
-8661.454863*H231
+13316.40767*I231
+8380.768503*J231</f>
        <v>806009.90390713001</v>
      </c>
      <c r="L231">
        <f>C231-K231</f>
        <v>-21507.223907129955</v>
      </c>
    </row>
    <row r="232" spans="1:12">
      <c r="A232" t="s">
        <v>85</v>
      </c>
      <c r="B232" t="s">
        <v>10</v>
      </c>
      <c r="C232">
        <v>752321.72</v>
      </c>
      <c r="D232">
        <v>35296.54</v>
      </c>
      <c r="E232">
        <v>9644</v>
      </c>
      <c r="F232">
        <v>88</v>
      </c>
      <c r="G232">
        <v>4.7</v>
      </c>
      <c r="H232">
        <v>0</v>
      </c>
      <c r="I232">
        <v>0</v>
      </c>
      <c r="J232">
        <v>1</v>
      </c>
      <c r="K232">
        <f>89288.89034
+1.202449548*D232
+33.98426571*E232
+2887.042076*F232
+11104.99019*G232
-8661.454863*H232
+13316.40767*I232
+8380.768503*J232</f>
        <v>774109.38250020402</v>
      </c>
      <c r="L232">
        <f>C232-K232</f>
        <v>-21787.662500204053</v>
      </c>
    </row>
    <row r="233" spans="1:12">
      <c r="A233" t="s">
        <v>65</v>
      </c>
      <c r="B233" t="s">
        <v>32</v>
      </c>
      <c r="C233">
        <v>529075.94999999995</v>
      </c>
      <c r="D233">
        <v>70366.759999999995</v>
      </c>
      <c r="E233">
        <v>1963</v>
      </c>
      <c r="F233">
        <v>89.8</v>
      </c>
      <c r="G233">
        <v>4.5999999999999996</v>
      </c>
      <c r="H233">
        <v>0</v>
      </c>
      <c r="I233">
        <v>0</v>
      </c>
      <c r="J233">
        <v>0</v>
      </c>
      <c r="K233">
        <f>89288.89034
+1.202449548*D233
+33.98426571*E233
+2887.042076*F233
+11104.99019*G233
-8661.454863*H233
+13316.40767*I233
+8380.768503*J233</f>
        <v>550951.81598375447</v>
      </c>
      <c r="L233">
        <f>C233-K233</f>
        <v>-21875.865983754513</v>
      </c>
    </row>
    <row r="234" spans="1:12">
      <c r="A234" t="s">
        <v>61</v>
      </c>
      <c r="B234" t="s">
        <v>10</v>
      </c>
      <c r="C234">
        <v>735480.19</v>
      </c>
      <c r="D234">
        <v>54968.98</v>
      </c>
      <c r="E234">
        <v>7816</v>
      </c>
      <c r="F234">
        <v>95.7</v>
      </c>
      <c r="G234">
        <v>4.7</v>
      </c>
      <c r="H234">
        <v>0</v>
      </c>
      <c r="I234">
        <v>0</v>
      </c>
      <c r="J234">
        <v>1</v>
      </c>
      <c r="K234">
        <f>89288.89034
+1.202449548*D234
+33.98426571*E234
+2887.042076*F234
+11104.99019*G234
-8661.454863*H234
+13316.40767*I234
+8380.768503*J234</f>
        <v>757871.48535358114</v>
      </c>
      <c r="L234">
        <f>C234-K234</f>
        <v>-22391.295353581198</v>
      </c>
    </row>
    <row r="235" spans="1:12">
      <c r="A235" t="s">
        <v>63</v>
      </c>
      <c r="B235" t="s">
        <v>9</v>
      </c>
      <c r="C235">
        <v>842439.67</v>
      </c>
      <c r="D235">
        <v>44747</v>
      </c>
      <c r="E235">
        <v>11076</v>
      </c>
      <c r="F235">
        <v>98.3</v>
      </c>
      <c r="G235">
        <v>4.4000000000000004</v>
      </c>
      <c r="H235">
        <v>0</v>
      </c>
      <c r="I235">
        <v>1</v>
      </c>
      <c r="J235">
        <v>0</v>
      </c>
      <c r="K235">
        <f>89288.89034
+1.202449548*D235
+33.98426571*E235
+2887.042076*F235
+11104.99019*G235
-8661.454863*H235
+13316.40767*I235
+8380.768503*J235</f>
        <v>865479.22784511605</v>
      </c>
      <c r="L235">
        <f>C235-K235</f>
        <v>-23039.557845116011</v>
      </c>
    </row>
    <row r="236" spans="1:12">
      <c r="A236" t="s">
        <v>72</v>
      </c>
      <c r="B236" t="s">
        <v>9</v>
      </c>
      <c r="C236">
        <v>677096.71</v>
      </c>
      <c r="D236">
        <v>57143.3</v>
      </c>
      <c r="E236">
        <v>8038</v>
      </c>
      <c r="F236">
        <v>72.599999999999994</v>
      </c>
      <c r="G236">
        <v>4.2</v>
      </c>
      <c r="H236">
        <v>0</v>
      </c>
      <c r="I236">
        <v>1</v>
      </c>
      <c r="J236">
        <v>0</v>
      </c>
      <c r="K236">
        <f>89288.89034
+1.202449548*D236
+33.98426571*E236
+2887.042076*F236
+11104.99019*G236
-8661.454863*H236
+13316.40767*I236
+8380.768503*J236</f>
        <v>700722.97455880838</v>
      </c>
      <c r="L236">
        <f>C236-K236</f>
        <v>-23626.264558808412</v>
      </c>
    </row>
    <row r="237" spans="1:12">
      <c r="A237" t="s">
        <v>109</v>
      </c>
      <c r="B237" t="s">
        <v>9</v>
      </c>
      <c r="C237">
        <v>621677.30000000005</v>
      </c>
      <c r="D237">
        <v>54322.94</v>
      </c>
      <c r="E237">
        <v>5434</v>
      </c>
      <c r="F237">
        <v>85.7</v>
      </c>
      <c r="G237">
        <v>4.2</v>
      </c>
      <c r="H237">
        <v>0</v>
      </c>
      <c r="I237">
        <v>1</v>
      </c>
      <c r="J237">
        <v>0</v>
      </c>
      <c r="K237">
        <f>89288.89034
+1.202449548*D237
+33.98426571*E237
+2887.042076*F237
+11104.99019*G237
-8661.454863*H237
+13316.40767*I237
+8380.768503*J237</f>
        <v>646656.85723837116</v>
      </c>
      <c r="L237">
        <f>C237-K237</f>
        <v>-24979.557238371111</v>
      </c>
    </row>
    <row r="238" spans="1:12">
      <c r="A238" t="s">
        <v>109</v>
      </c>
      <c r="B238" t="s">
        <v>9</v>
      </c>
      <c r="C238">
        <v>628538.30000000005</v>
      </c>
      <c r="D238">
        <v>48465.599999999999</v>
      </c>
      <c r="E238">
        <v>5759</v>
      </c>
      <c r="F238">
        <v>87.5</v>
      </c>
      <c r="G238">
        <v>4</v>
      </c>
      <c r="H238">
        <v>0</v>
      </c>
      <c r="I238">
        <v>1</v>
      </c>
      <c r="J238">
        <v>0</v>
      </c>
      <c r="K238">
        <f>89288.89034
+1.202449548*D238
+33.98426571*E238
+2887.042076*F238
+11104.99019*G238
-8661.454863*H238
+13316.40767*I238
+8380.768503*J238</f>
        <v>653634.26545743889</v>
      </c>
      <c r="L238">
        <f>C238-K238</f>
        <v>-25095.965457438841</v>
      </c>
    </row>
    <row r="239" spans="1:12">
      <c r="A239" t="s">
        <v>75</v>
      </c>
      <c r="B239" t="s">
        <v>8</v>
      </c>
      <c r="C239">
        <v>721364.11</v>
      </c>
      <c r="D239">
        <v>43645.98</v>
      </c>
      <c r="E239">
        <v>9480</v>
      </c>
      <c r="F239">
        <v>89</v>
      </c>
      <c r="G239">
        <v>3.1</v>
      </c>
      <c r="H239">
        <v>1</v>
      </c>
      <c r="I239">
        <v>0</v>
      </c>
      <c r="J239">
        <v>0</v>
      </c>
      <c r="K239">
        <f>89288.89034
+1.202449548*D239
+33.98426571*E239
+2887.042076*F239
+11104.99019*G239
-8661.454863*H239
+13316.40767*I239
+8380.768503*J239</f>
        <v>746652.57768381701</v>
      </c>
      <c r="L239">
        <f>C239-K239</f>
        <v>-25288.467683817027</v>
      </c>
    </row>
    <row r="240" spans="1:12">
      <c r="A240" t="s">
        <v>35</v>
      </c>
      <c r="B240" t="s">
        <v>9</v>
      </c>
      <c r="C240">
        <v>591619.94999999995</v>
      </c>
      <c r="D240">
        <v>41441.93</v>
      </c>
      <c r="E240">
        <v>4865</v>
      </c>
      <c r="F240">
        <v>88.3</v>
      </c>
      <c r="G240">
        <v>4</v>
      </c>
      <c r="H240">
        <v>0</v>
      </c>
      <c r="I240">
        <v>1</v>
      </c>
      <c r="J240">
        <v>0</v>
      </c>
      <c r="K240">
        <f>89288.89034
+1.202449548*D240
+33.98426571*E240
+2887.042076*F240
+11104.99019*G240
-8661.454863*H240
+13316.40767*I240
+8380.768503*J240</f>
        <v>617116.35675669764</v>
      </c>
      <c r="L240">
        <f>C240-K240</f>
        <v>-25496.406756697688</v>
      </c>
    </row>
    <row r="241" spans="1:12">
      <c r="A241" t="s">
        <v>55</v>
      </c>
      <c r="B241" t="s">
        <v>10</v>
      </c>
      <c r="C241">
        <v>585937.48</v>
      </c>
      <c r="D241">
        <v>38966.589999999997</v>
      </c>
      <c r="E241">
        <v>4509</v>
      </c>
      <c r="F241">
        <v>91.1</v>
      </c>
      <c r="G241">
        <v>4.5999999999999996</v>
      </c>
      <c r="H241">
        <v>0</v>
      </c>
      <c r="I241">
        <v>0</v>
      </c>
      <c r="J241">
        <v>1</v>
      </c>
      <c r="K241">
        <f>89288.89034
+1.202449548*D241
+33.98426571*E241
+2887.042076*F241
+11104.99019*G241
-8661.454863*H241
+13316.40767*I241
+8380.768503*J241</f>
        <v>611852.5594595914</v>
      </c>
      <c r="L241">
        <f>C241-K241</f>
        <v>-25915.079459591419</v>
      </c>
    </row>
    <row r="242" spans="1:12">
      <c r="A242" t="s">
        <v>52</v>
      </c>
      <c r="B242" t="s">
        <v>10</v>
      </c>
      <c r="C242">
        <v>621369.57999999996</v>
      </c>
      <c r="D242">
        <v>60881.01</v>
      </c>
      <c r="E242">
        <v>5410</v>
      </c>
      <c r="F242">
        <v>83.9</v>
      </c>
      <c r="G242">
        <v>4.5999999999999996</v>
      </c>
      <c r="H242">
        <v>0</v>
      </c>
      <c r="I242">
        <v>0</v>
      </c>
      <c r="J242">
        <v>1</v>
      </c>
      <c r="K242">
        <f>89288.89034
+1.202449548*D242
+33.98426571*E242
+2887.042076*F242
+11104.99019*G242
-8661.454863*H242
+13316.40767*I242
+8380.768503*J242</f>
        <v>648036.66434078361</v>
      </c>
      <c r="L242">
        <f>C242-K242</f>
        <v>-26667.084340783651</v>
      </c>
    </row>
    <row r="243" spans="1:12">
      <c r="A243" t="s">
        <v>87</v>
      </c>
      <c r="B243" t="s">
        <v>8</v>
      </c>
      <c r="C243">
        <v>723531.4</v>
      </c>
      <c r="D243">
        <v>73540.990000000005</v>
      </c>
      <c r="E243">
        <v>8773</v>
      </c>
      <c r="F243">
        <v>84.4</v>
      </c>
      <c r="G243">
        <v>3.6</v>
      </c>
      <c r="H243">
        <v>1</v>
      </c>
      <c r="I243">
        <v>0</v>
      </c>
      <c r="J243">
        <v>0</v>
      </c>
      <c r="K243">
        <f>89288.89034
+1.202449548*D243
+33.98426571*E243
+2887.042076*F243
+11104.99019*G243
-8661.454863*H243
+13316.40767*I243
+8380.768503*J243</f>
        <v>750845.04463420261</v>
      </c>
      <c r="L243">
        <f>C243-K243</f>
        <v>-27313.644634202588</v>
      </c>
    </row>
    <row r="244" spans="1:12">
      <c r="A244" t="s">
        <v>101</v>
      </c>
      <c r="B244" t="s">
        <v>9</v>
      </c>
      <c r="C244">
        <v>761122.42</v>
      </c>
      <c r="D244">
        <v>70284.06</v>
      </c>
      <c r="E244">
        <v>9109</v>
      </c>
      <c r="F244">
        <v>87</v>
      </c>
      <c r="G244">
        <v>3.7</v>
      </c>
      <c r="H244">
        <v>0</v>
      </c>
      <c r="I244">
        <v>1</v>
      </c>
      <c r="J244">
        <v>0</v>
      </c>
      <c r="K244">
        <f>89288.89034
+1.202449548*D244
+33.98426571*E244
+2887.042076*F244
+11104.99019*G244
-8661.454863*H244
+13316.40767*I244
+8380.768503*J244</f>
        <v>788942.13485599484</v>
      </c>
      <c r="L244">
        <f>C244-K244</f>
        <v>-27819.714855994796</v>
      </c>
    </row>
    <row r="245" spans="1:12">
      <c r="A245" t="s">
        <v>69</v>
      </c>
      <c r="B245" t="s">
        <v>9</v>
      </c>
      <c r="C245">
        <v>614024.91</v>
      </c>
      <c r="D245">
        <v>51575.68</v>
      </c>
      <c r="E245">
        <v>5329</v>
      </c>
      <c r="F245">
        <v>88.1</v>
      </c>
      <c r="G245">
        <v>3.8</v>
      </c>
      <c r="H245">
        <v>0</v>
      </c>
      <c r="I245">
        <v>1</v>
      </c>
      <c r="J245">
        <v>0</v>
      </c>
      <c r="K245">
        <f>89288.89034
+1.202449548*D245
+33.98426571*E245
+2887.042076*F245
+11104.99019*G245
-8661.454863*H245
+13316.40767*I245
+8380.768503*J245</f>
        <v>642271.97269998258</v>
      </c>
      <c r="L245">
        <f>C245-K245</f>
        <v>-28247.062699982547</v>
      </c>
    </row>
    <row r="246" spans="1:12">
      <c r="A246" t="s">
        <v>55</v>
      </c>
      <c r="B246" t="s">
        <v>10</v>
      </c>
      <c r="C246">
        <v>607898.12</v>
      </c>
      <c r="D246">
        <v>9534.65</v>
      </c>
      <c r="E246">
        <v>6057</v>
      </c>
      <c r="F246">
        <v>94.1</v>
      </c>
      <c r="G246">
        <v>4.5</v>
      </c>
      <c r="H246">
        <v>0</v>
      </c>
      <c r="I246">
        <v>0</v>
      </c>
      <c r="J246">
        <v>1</v>
      </c>
      <c r="K246">
        <f>89288.89034
+1.202449548*D246
+33.98426571*E246
+2887.042076*F246
+11104.99019*G246
-8661.454863*H246
+13316.40767*I246
+8380.768503*J246</f>
        <v>636620.40703790809</v>
      </c>
      <c r="L246">
        <f>C246-K246</f>
        <v>-28722.2870379081</v>
      </c>
    </row>
    <row r="247" spans="1:12">
      <c r="A247" t="s">
        <v>60</v>
      </c>
      <c r="B247" t="s">
        <v>10</v>
      </c>
      <c r="C247">
        <v>718074.79</v>
      </c>
      <c r="D247">
        <v>25990.54</v>
      </c>
      <c r="E247">
        <v>9249</v>
      </c>
      <c r="F247">
        <v>92.5</v>
      </c>
      <c r="G247">
        <v>3.3</v>
      </c>
      <c r="H247">
        <v>0</v>
      </c>
      <c r="I247">
        <v>0</v>
      </c>
      <c r="J247">
        <v>1</v>
      </c>
      <c r="K247">
        <f>89288.89034
+1.202449548*D247
+33.98426571*E247
+2887.042076*F247
+11104.99019*G247
-8661.454863*H247
+13316.40767*I247
+8380.768503*J247</f>
        <v>746940.30512706586</v>
      </c>
      <c r="L247">
        <f>C247-K247</f>
        <v>-28865.515127065824</v>
      </c>
    </row>
    <row r="248" spans="1:12">
      <c r="A248" t="s">
        <v>46</v>
      </c>
      <c r="B248" t="s">
        <v>8</v>
      </c>
      <c r="C248">
        <v>617291.15</v>
      </c>
      <c r="D248">
        <v>118910.48</v>
      </c>
      <c r="E248">
        <v>4022</v>
      </c>
      <c r="F248">
        <v>87.1</v>
      </c>
      <c r="G248">
        <v>3.1</v>
      </c>
      <c r="H248">
        <v>1</v>
      </c>
      <c r="I248">
        <v>0</v>
      </c>
      <c r="J248">
        <v>0</v>
      </c>
      <c r="K248">
        <f>89288.89034
+1.202449548*D248
+33.98426571*E248
+2887.042076*F248
+11104.99019*G248
-8661.454863*H248
+13316.40767*I248
+8380.768503*J248</f>
        <v>646182.839499683</v>
      </c>
      <c r="L248">
        <f>C248-K248</f>
        <v>-28891.68949968298</v>
      </c>
    </row>
    <row r="249" spans="1:12">
      <c r="A249" t="s">
        <v>44</v>
      </c>
      <c r="B249" t="s">
        <v>32</v>
      </c>
      <c r="C249">
        <v>622811.74</v>
      </c>
      <c r="D249">
        <v>46624.05</v>
      </c>
      <c r="E249">
        <v>5104</v>
      </c>
      <c r="F249">
        <v>97.3</v>
      </c>
      <c r="G249">
        <v>4.7</v>
      </c>
      <c r="H249">
        <v>0</v>
      </c>
      <c r="I249">
        <v>0</v>
      </c>
      <c r="J249">
        <v>0</v>
      </c>
      <c r="K249">
        <f>89288.89034
+1.202449548*D249
+33.98426571*E249
+2887.042076*F249
+11104.99019*G249
-8661.454863*H249
+13316.40767*I249
+8380.768503*J249</f>
        <v>651910.29826006945</v>
      </c>
      <c r="L249">
        <f>C249-K249</f>
        <v>-29098.558260069462</v>
      </c>
    </row>
    <row r="250" spans="1:12">
      <c r="A250" t="s">
        <v>103</v>
      </c>
      <c r="B250" t="s">
        <v>10</v>
      </c>
      <c r="C250">
        <v>548103.69999999995</v>
      </c>
      <c r="D250">
        <v>40928.69</v>
      </c>
      <c r="E250">
        <v>4094</v>
      </c>
      <c r="F250">
        <v>82.4</v>
      </c>
      <c r="G250">
        <v>4.8</v>
      </c>
      <c r="H250">
        <v>0</v>
      </c>
      <c r="I250">
        <v>0</v>
      </c>
      <c r="J250">
        <v>1</v>
      </c>
      <c r="K250">
        <f>89288.89034
+1.202449548*D250
+33.98426571*E250
+2887.042076*F250
+11104.99019*G250
-8661.454863*H250
+13316.40767*I250
+8380.768503*J250</f>
        <v>577212.14742487215</v>
      </c>
      <c r="L250">
        <f>C250-K250</f>
        <v>-29108.447424872196</v>
      </c>
    </row>
    <row r="251" spans="1:12">
      <c r="A251" t="s">
        <v>35</v>
      </c>
      <c r="B251" t="s">
        <v>9</v>
      </c>
      <c r="C251">
        <v>666152.52</v>
      </c>
      <c r="D251">
        <v>48804.22</v>
      </c>
      <c r="E251">
        <v>7057</v>
      </c>
      <c r="F251">
        <v>87.7</v>
      </c>
      <c r="G251">
        <v>3.7</v>
      </c>
      <c r="H251">
        <v>0</v>
      </c>
      <c r="I251">
        <v>1</v>
      </c>
      <c r="J251">
        <v>0</v>
      </c>
      <c r="K251">
        <f>89288.89034
+1.202449548*D251
+33.98426571*E251
+2887.042076*F251
+11104.99019*G251
-8661.454863*H251
+13316.40767*I251
+8380.768503*J251</f>
        <v>695398.92717316258</v>
      </c>
      <c r="L251">
        <f>C251-K251</f>
        <v>-29246.407173162559</v>
      </c>
    </row>
    <row r="252" spans="1:12">
      <c r="A252" t="s">
        <v>46</v>
      </c>
      <c r="B252" t="s">
        <v>8</v>
      </c>
      <c r="C252">
        <v>553756.43000000005</v>
      </c>
      <c r="D252">
        <v>52952.12</v>
      </c>
      <c r="E252">
        <v>4377</v>
      </c>
      <c r="F252">
        <v>88.6</v>
      </c>
      <c r="G252">
        <v>3.1</v>
      </c>
      <c r="H252">
        <v>1</v>
      </c>
      <c r="I252">
        <v>0</v>
      </c>
      <c r="J252">
        <v>0</v>
      </c>
      <c r="K252">
        <f>89288.89034
+1.202449548*D252
+33.98426571*E252
+2887.042076*F252
+11104.99019*G252
-8661.454863*H252
+13316.40767*I252
+8380.768503*J252</f>
        <v>583266.21677191183</v>
      </c>
      <c r="L252">
        <f>C252-K252</f>
        <v>-29509.786771911778</v>
      </c>
    </row>
    <row r="253" spans="1:12">
      <c r="A253" t="s">
        <v>68</v>
      </c>
      <c r="B253" t="s">
        <v>32</v>
      </c>
      <c r="C253">
        <v>537058.32999999996</v>
      </c>
      <c r="D253">
        <v>50909.27</v>
      </c>
      <c r="E253">
        <v>3152</v>
      </c>
      <c r="F253">
        <v>93.7</v>
      </c>
      <c r="G253">
        <v>3.5</v>
      </c>
      <c r="H253">
        <v>0</v>
      </c>
      <c r="I253">
        <v>0</v>
      </c>
      <c r="J253">
        <v>0</v>
      </c>
      <c r="K253">
        <f>89288.89034
+1.202449548*D253
+33.98426571*E253
+2887.042076*F253
+11104.99019*G253
-8661.454863*H253
+13316.40767*I253
+8380.768503*J253</f>
        <v>567006.43274463003</v>
      </c>
      <c r="L253">
        <f>C253-K253</f>
        <v>-29948.102744630072</v>
      </c>
    </row>
    <row r="254" spans="1:12">
      <c r="A254" t="s">
        <v>95</v>
      </c>
      <c r="B254" t="s">
        <v>9</v>
      </c>
      <c r="C254">
        <v>612390.14</v>
      </c>
      <c r="D254">
        <v>36290.080000000002</v>
      </c>
      <c r="E254">
        <v>5787</v>
      </c>
      <c r="F254">
        <v>88.3</v>
      </c>
      <c r="G254">
        <v>4.0999999999999996</v>
      </c>
      <c r="H254">
        <v>0</v>
      </c>
      <c r="I254">
        <v>1</v>
      </c>
      <c r="J254">
        <v>0</v>
      </c>
      <c r="K254">
        <f>89288.89034
+1.202449548*D254
+33.98426571*E254
+2887.042076*F254
+11104.99019*G254
-8661.454863*H254
+13316.40767*I254
+8380.768503*J254</f>
        <v>643365.50905645383</v>
      </c>
      <c r="L254">
        <f>C254-K254</f>
        <v>-30975.369056453812</v>
      </c>
    </row>
    <row r="255" spans="1:12">
      <c r="A255" t="s">
        <v>62</v>
      </c>
      <c r="B255" t="s">
        <v>32</v>
      </c>
      <c r="C255">
        <v>557487.26</v>
      </c>
      <c r="D255">
        <v>48396.13</v>
      </c>
      <c r="E255">
        <v>4423</v>
      </c>
      <c r="F255">
        <v>85.7</v>
      </c>
      <c r="G255">
        <v>3.9</v>
      </c>
      <c r="H255">
        <v>0</v>
      </c>
      <c r="I255">
        <v>0</v>
      </c>
      <c r="J255">
        <v>0</v>
      </c>
      <c r="K255">
        <f>89288.89034
+1.202449548*D255
+33.98426571*E255
+2887.042076*F255
+11104.99019*G255
-8661.454863*H255
+13316.40767*I255
+8380.768503*J255</f>
        <v>588524.16987297917</v>
      </c>
      <c r="L255">
        <f>C255-K255</f>
        <v>-31036.909872979159</v>
      </c>
    </row>
    <row r="256" spans="1:12">
      <c r="A256" t="s">
        <v>57</v>
      </c>
      <c r="B256" t="s">
        <v>8</v>
      </c>
      <c r="C256">
        <v>586626.93999999994</v>
      </c>
      <c r="D256">
        <v>63101.59</v>
      </c>
      <c r="E256">
        <v>4373</v>
      </c>
      <c r="F256">
        <v>90.4</v>
      </c>
      <c r="G256">
        <v>4.7</v>
      </c>
      <c r="H256">
        <v>1</v>
      </c>
      <c r="I256">
        <v>0</v>
      </c>
      <c r="J256">
        <v>0</v>
      </c>
      <c r="K256">
        <f>89288.89034
+1.202449548*D256
+33.98426571*E256
+2887.042076*F256
+11104.99019*G256
-8661.454863*H256
+13316.40767*I256
+8380.768503*J256</f>
        <v>618299.16536381142</v>
      </c>
      <c r="L256">
        <f>C256-K256</f>
        <v>-31672.225363811478</v>
      </c>
    </row>
    <row r="257" spans="1:12">
      <c r="A257" t="s">
        <v>41</v>
      </c>
      <c r="B257" t="s">
        <v>32</v>
      </c>
      <c r="C257">
        <v>718330.53</v>
      </c>
      <c r="D257">
        <v>61245.41</v>
      </c>
      <c r="E257">
        <v>8156</v>
      </c>
      <c r="F257">
        <v>92.9</v>
      </c>
      <c r="G257">
        <v>3.8</v>
      </c>
      <c r="H257">
        <v>0</v>
      </c>
      <c r="I257">
        <v>0</v>
      </c>
      <c r="J257">
        <v>0</v>
      </c>
      <c r="K257">
        <f>89288.89034
+1.202449548*D257
+33.98426571*E257
+2887.042076*F257
+11104.99019*G257
-8661.454863*H257
+13316.40767*I257
+8380.768503*J257</f>
        <v>750514.2486247347</v>
      </c>
      <c r="L257">
        <f>C257-K257</f>
        <v>-32183.718624734669</v>
      </c>
    </row>
    <row r="258" spans="1:12">
      <c r="A258" t="s">
        <v>40</v>
      </c>
      <c r="B258" t="s">
        <v>32</v>
      </c>
      <c r="C258">
        <v>800979.78</v>
      </c>
      <c r="D258">
        <v>52483.77</v>
      </c>
      <c r="E258">
        <v>10453</v>
      </c>
      <c r="F258">
        <v>99</v>
      </c>
      <c r="G258">
        <v>3.6</v>
      </c>
      <c r="H258">
        <v>0</v>
      </c>
      <c r="I258">
        <v>0</v>
      </c>
      <c r="J258">
        <v>0</v>
      </c>
      <c r="K258">
        <f>89288.89034
+1.202449548*D258
+33.98426571*E258
+2887.042076*F258
+11104.99019*G258
-8661.454863*H258
+13316.40767*I258
+8380.768503*J258</f>
        <v>833430.63552846597</v>
      </c>
      <c r="L258">
        <f>C258-K258</f>
        <v>-32450.855528465938</v>
      </c>
    </row>
    <row r="259" spans="1:12">
      <c r="A259" t="s">
        <v>89</v>
      </c>
      <c r="B259" t="s">
        <v>8</v>
      </c>
      <c r="C259">
        <v>596969.27</v>
      </c>
      <c r="D259">
        <v>33173.949999999997</v>
      </c>
      <c r="E259">
        <v>6545</v>
      </c>
      <c r="F259">
        <v>84.4</v>
      </c>
      <c r="G259">
        <v>3.9</v>
      </c>
      <c r="H259">
        <v>1</v>
      </c>
      <c r="I259">
        <v>0</v>
      </c>
      <c r="J259">
        <v>0</v>
      </c>
      <c r="K259">
        <f>89288.89034
+1.202449548*D259
+33.98426571*E259
+2887.042076*F259
+11104.99019*G259
-8661.454863*H259
+13316.40767*I259
+8380.768503*J259</f>
        <v>629920.2686872246</v>
      </c>
      <c r="L259">
        <f>C259-K259</f>
        <v>-32950.998687224579</v>
      </c>
    </row>
    <row r="260" spans="1:12">
      <c r="A260" t="s">
        <v>51</v>
      </c>
      <c r="B260" t="s">
        <v>9</v>
      </c>
      <c r="C260">
        <v>636561.34</v>
      </c>
      <c r="D260">
        <v>77999.899999999994</v>
      </c>
      <c r="E260">
        <v>5974</v>
      </c>
      <c r="F260">
        <v>81.3</v>
      </c>
      <c r="G260">
        <v>3.2</v>
      </c>
      <c r="H260">
        <v>0</v>
      </c>
      <c r="I260">
        <v>1</v>
      </c>
      <c r="J260">
        <v>0</v>
      </c>
      <c r="K260">
        <f>89288.89034
+1.202449548*D260
+33.98426571*E260
+2887.042076*F260
+11104.99019*G260
-8661.454863*H260
+13316.40767*I260
+8380.768503*J260</f>
        <v>669670.73524738522</v>
      </c>
      <c r="L260">
        <f>C260-K260</f>
        <v>-33109.395247385255</v>
      </c>
    </row>
    <row r="261" spans="1:12">
      <c r="A261" t="s">
        <v>104</v>
      </c>
      <c r="B261" t="s">
        <v>8</v>
      </c>
      <c r="C261">
        <v>696261.49</v>
      </c>
      <c r="D261">
        <v>68909.259999999995</v>
      </c>
      <c r="E261">
        <v>7794</v>
      </c>
      <c r="F261">
        <v>89</v>
      </c>
      <c r="G261">
        <v>4</v>
      </c>
      <c r="H261">
        <v>1</v>
      </c>
      <c r="I261">
        <v>0</v>
      </c>
      <c r="J261">
        <v>0</v>
      </c>
      <c r="K261">
        <f>89288.89034
+1.202449548*D261
+33.98426571*E261
+2887.042076*F261
+11104.99019*G261
-8661.454863*H261
+13316.40767*I261
+8380.768503*J261</f>
        <v>729727.41648475453</v>
      </c>
      <c r="L261">
        <f>C261-K261</f>
        <v>-33465.926484754542</v>
      </c>
    </row>
    <row r="262" spans="1:12">
      <c r="A262" t="s">
        <v>35</v>
      </c>
      <c r="B262" t="s">
        <v>9</v>
      </c>
      <c r="C262">
        <v>666573.19999999995</v>
      </c>
      <c r="D262">
        <v>78831.12</v>
      </c>
      <c r="E262">
        <v>5538</v>
      </c>
      <c r="F262">
        <v>94.1</v>
      </c>
      <c r="G262">
        <v>3.9</v>
      </c>
      <c r="H262">
        <v>0</v>
      </c>
      <c r="I262">
        <v>1</v>
      </c>
      <c r="J262">
        <v>0</v>
      </c>
      <c r="K262">
        <f>89288.89034
+1.202449548*D262
+33.98426571*E262
+2887.042076*F262
+11104.99019*G262
-8661.454863*H262
+13316.40767*I262
+8380.768503*J262</f>
        <v>700580.72721691371</v>
      </c>
      <c r="L262">
        <f>C262-K262</f>
        <v>-34007.527216913761</v>
      </c>
    </row>
    <row r="263" spans="1:12">
      <c r="A263" t="s">
        <v>102</v>
      </c>
      <c r="B263" t="s">
        <v>9</v>
      </c>
      <c r="C263">
        <v>555557.77</v>
      </c>
      <c r="D263">
        <v>34771.26</v>
      </c>
      <c r="E263">
        <v>4355</v>
      </c>
      <c r="F263">
        <v>87.9</v>
      </c>
      <c r="G263">
        <v>4</v>
      </c>
      <c r="H263">
        <v>0</v>
      </c>
      <c r="I263">
        <v>1</v>
      </c>
      <c r="J263">
        <v>0</v>
      </c>
      <c r="K263">
        <f>89288.89034
+1.202449548*D263
+33.98426571*E263
+2887.042076*F263
+11104.99019*G263
-8661.454863*H263
+13316.40767*I263
+8380.768503*J263</f>
        <v>590608.42028784053</v>
      </c>
      <c r="L263">
        <f>C263-K263</f>
        <v>-35050.650287840515</v>
      </c>
    </row>
    <row r="264" spans="1:12">
      <c r="A264" t="s">
        <v>53</v>
      </c>
      <c r="B264" t="s">
        <v>10</v>
      </c>
      <c r="C264">
        <v>611766.72</v>
      </c>
      <c r="D264">
        <v>88443.77</v>
      </c>
      <c r="E264">
        <v>4004</v>
      </c>
      <c r="F264">
        <v>91.9</v>
      </c>
      <c r="G264">
        <v>3.9</v>
      </c>
      <c r="H264">
        <v>0</v>
      </c>
      <c r="I264">
        <v>0</v>
      </c>
      <c r="J264">
        <v>1</v>
      </c>
      <c r="K264">
        <f>89288.89034
+1.202449548*D264
+33.98426571*E264
+2887.042076*F264
+11104.99019*G264
-8661.454863*H264
+13316.40767*I264
+8380.768503*J264</f>
        <v>648720.45853115595</v>
      </c>
      <c r="L264">
        <f>C264-K264</f>
        <v>-36953.738531155977</v>
      </c>
    </row>
    <row r="265" spans="1:12">
      <c r="A265" t="s">
        <v>35</v>
      </c>
      <c r="B265" t="s">
        <v>9</v>
      </c>
      <c r="C265">
        <v>573155.18999999994</v>
      </c>
      <c r="D265">
        <v>59117.9</v>
      </c>
      <c r="E265">
        <v>4263</v>
      </c>
      <c r="F265">
        <v>87.6</v>
      </c>
      <c r="G265">
        <v>3.6</v>
      </c>
      <c r="H265">
        <v>0</v>
      </c>
      <c r="I265">
        <v>1</v>
      </c>
      <c r="J265">
        <v>0</v>
      </c>
      <c r="K265">
        <f>89288.89034
+1.202449548*D265
+33.98426571*E265
+2887.042076*F265
+11104.99019*G265
-8661.454863*H265
+13316.40767*I265
+8380.768503*J265</f>
        <v>611449.36540703918</v>
      </c>
      <c r="L265">
        <f>C265-K265</f>
        <v>-38294.175407039234</v>
      </c>
    </row>
    <row r="266" spans="1:12">
      <c r="A266" t="s">
        <v>68</v>
      </c>
      <c r="B266" t="s">
        <v>32</v>
      </c>
      <c r="C266">
        <v>577732.56999999995</v>
      </c>
      <c r="D266">
        <v>70488.2</v>
      </c>
      <c r="E266">
        <v>4312</v>
      </c>
      <c r="F266">
        <v>90.2</v>
      </c>
      <c r="G266">
        <v>3.2</v>
      </c>
      <c r="H266">
        <v>0</v>
      </c>
      <c r="I266">
        <v>0</v>
      </c>
      <c r="J266">
        <v>0</v>
      </c>
      <c r="K266">
        <f>89288.89034
+1.202449548*D266
+33.98426571*E266
+2887.042076*F266
+11104.99019*G266
-8661.454863*H266
+13316.40767*I266
+8380.768503*J266</f>
        <v>616534.71217405365</v>
      </c>
      <c r="L266">
        <f>C266-K266</f>
        <v>-38802.142174053704</v>
      </c>
    </row>
    <row r="267" spans="1:12">
      <c r="A267" t="s">
        <v>82</v>
      </c>
      <c r="B267" t="s">
        <v>8</v>
      </c>
      <c r="C267">
        <v>607084.92000000004</v>
      </c>
      <c r="D267">
        <v>35203.230000000003</v>
      </c>
      <c r="E267">
        <v>6896</v>
      </c>
      <c r="F267">
        <v>80.8</v>
      </c>
      <c r="G267">
        <v>5</v>
      </c>
      <c r="H267">
        <v>1</v>
      </c>
      <c r="I267">
        <v>0</v>
      </c>
      <c r="J267">
        <v>0</v>
      </c>
      <c r="K267">
        <f>89288.89034
+1.202449548*D267
+33.98426571*E267
+2887.042076*F267
+11104.99019*G267
-8661.454863*H267
+13316.40767*I267
+8380.768503*J267</f>
        <v>646110.99050560012</v>
      </c>
      <c r="L267">
        <f>C267-K267</f>
        <v>-39026.070505600073</v>
      </c>
    </row>
    <row r="268" spans="1:12">
      <c r="A268" t="s">
        <v>111</v>
      </c>
      <c r="B268" t="s">
        <v>8</v>
      </c>
      <c r="C268">
        <v>559660.84</v>
      </c>
      <c r="D268">
        <v>40553.11</v>
      </c>
      <c r="E268">
        <v>5317</v>
      </c>
      <c r="F268">
        <v>84.3</v>
      </c>
      <c r="G268">
        <v>4.0999999999999996</v>
      </c>
      <c r="H268">
        <v>1</v>
      </c>
      <c r="I268">
        <v>0</v>
      </c>
      <c r="J268">
        <v>0</v>
      </c>
      <c r="K268">
        <f>89288.89034
+1.202449548*D268
+33.98426571*E268
+2887.042076*F268
+11104.99019*G268
-8661.454863*H268
+13316.40767*I268
+8380.768503*J268</f>
        <v>598992.95183236443</v>
      </c>
      <c r="L268">
        <f>C268-K268</f>
        <v>-39332.111832364462</v>
      </c>
    </row>
    <row r="269" spans="1:12">
      <c r="A269" t="s">
        <v>27</v>
      </c>
      <c r="B269" t="s">
        <v>8</v>
      </c>
      <c r="C269">
        <v>658832.62</v>
      </c>
      <c r="D269">
        <v>70389.11</v>
      </c>
      <c r="E269">
        <v>8302</v>
      </c>
      <c r="F269">
        <v>75</v>
      </c>
      <c r="G269">
        <v>3.1</v>
      </c>
      <c r="H269">
        <v>1</v>
      </c>
      <c r="I269">
        <v>0</v>
      </c>
      <c r="J269">
        <v>0</v>
      </c>
      <c r="K269">
        <f>89288.89034
+1.202449548*D269
+33.98426571*E269
+2887.042076*F269
+11104.99019*G269
-8661.454863*H269
+13316.40767*I269
+8380.768503*J269</f>
        <v>698357.78819404228</v>
      </c>
      <c r="L269">
        <f>C269-K269</f>
        <v>-39525.168194042286</v>
      </c>
    </row>
    <row r="270" spans="1:12">
      <c r="A270" t="s">
        <v>70</v>
      </c>
      <c r="B270" t="s">
        <v>8</v>
      </c>
      <c r="C270">
        <v>685830.24</v>
      </c>
      <c r="D270">
        <v>61433.84</v>
      </c>
      <c r="E270">
        <v>7745</v>
      </c>
      <c r="F270">
        <v>90.5</v>
      </c>
      <c r="G270">
        <v>4.2</v>
      </c>
      <c r="H270">
        <v>1</v>
      </c>
      <c r="I270">
        <v>0</v>
      </c>
      <c r="J270">
        <v>0</v>
      </c>
      <c r="K270">
        <f>89288.89034
+1.202449548*D270
+33.98426571*E270
+2887.042076*F270
+11104.99019*G270
-8661.454863*H270
+13316.40767*I270
+8380.768503*J270</f>
        <v>725624.93321685435</v>
      </c>
      <c r="L270">
        <f>C270-K270</f>
        <v>-39794.693216854357</v>
      </c>
    </row>
    <row r="271" spans="1:12">
      <c r="A271" t="s">
        <v>74</v>
      </c>
      <c r="B271" t="s">
        <v>8</v>
      </c>
      <c r="C271">
        <v>739831.73</v>
      </c>
      <c r="D271">
        <v>62059.18</v>
      </c>
      <c r="E271">
        <v>9374</v>
      </c>
      <c r="F271">
        <v>87.1</v>
      </c>
      <c r="G271">
        <v>4.9000000000000004</v>
      </c>
      <c r="H271">
        <v>1</v>
      </c>
      <c r="I271">
        <v>0</v>
      </c>
      <c r="J271">
        <v>0</v>
      </c>
      <c r="K271">
        <f>89288.89034
+1.202449548*D271
+33.98426571*E271
+2887.042076*F271
+11104.99019*G271
-8661.454863*H271
+13316.40767*I271
+8380.768503*J271</f>
        <v>779694.79193339066</v>
      </c>
      <c r="L271">
        <f>C271-K271</f>
        <v>-39863.06193339068</v>
      </c>
    </row>
    <row r="272" spans="1:12">
      <c r="A272" t="s">
        <v>60</v>
      </c>
      <c r="B272" t="s">
        <v>10</v>
      </c>
      <c r="C272">
        <v>697287.9</v>
      </c>
      <c r="D272">
        <v>33605.18</v>
      </c>
      <c r="E272">
        <v>9225</v>
      </c>
      <c r="F272">
        <v>88.4</v>
      </c>
      <c r="G272">
        <v>2.8</v>
      </c>
      <c r="H272">
        <v>0</v>
      </c>
      <c r="I272">
        <v>0</v>
      </c>
      <c r="J272">
        <v>1</v>
      </c>
      <c r="K272">
        <f>89288.89034
+1.202449548*D272
+33.98426571*E272
+2887.042076*F272
+11104.99019*G272
-8661.454863*H272
+13316.40767*I272
+8380.768503*J272</f>
        <v>737891.53556960879</v>
      </c>
      <c r="L272">
        <f>C272-K272</f>
        <v>-40603.63556960877</v>
      </c>
    </row>
    <row r="273" spans="1:12">
      <c r="A273" t="s">
        <v>81</v>
      </c>
      <c r="B273" t="s">
        <v>32</v>
      </c>
      <c r="C273">
        <v>574066.61</v>
      </c>
      <c r="D273">
        <v>54002.83</v>
      </c>
      <c r="E273">
        <v>4366</v>
      </c>
      <c r="F273">
        <v>90.6</v>
      </c>
      <c r="G273">
        <v>4.5999999999999996</v>
      </c>
      <c r="H273">
        <v>0</v>
      </c>
      <c r="I273">
        <v>0</v>
      </c>
      <c r="J273">
        <v>0</v>
      </c>
      <c r="K273">
        <f>89288.89034
+1.202449548*D273
+33.98426571*E273
+2887.042076*F273
+11104.99019*G273
-8661.454863*H273
+13316.40767*I273
+8380.768503*J273</f>
        <v>615248.83991368092</v>
      </c>
      <c r="L273">
        <f>C273-K273</f>
        <v>-41182.229913680931</v>
      </c>
    </row>
    <row r="274" spans="1:12">
      <c r="A274" t="s">
        <v>81</v>
      </c>
      <c r="B274" t="s">
        <v>32</v>
      </c>
      <c r="C274">
        <v>578949.84</v>
      </c>
      <c r="D274">
        <v>54479.33</v>
      </c>
      <c r="E274">
        <v>5012</v>
      </c>
      <c r="F274">
        <v>86</v>
      </c>
      <c r="G274">
        <v>4.3</v>
      </c>
      <c r="H274">
        <v>0</v>
      </c>
      <c r="I274">
        <v>0</v>
      </c>
      <c r="J274">
        <v>0</v>
      </c>
      <c r="K274">
        <f>89288.89034
+1.202449548*D274
+33.98426571*E274
+2887.042076*F274
+11104.99019*G274
-8661.454863*H274
+13316.40767*I274
+8380.768503*J274</f>
        <v>621163.75216536282</v>
      </c>
      <c r="L274">
        <f>C274-K274</f>
        <v>-42213.912165362854</v>
      </c>
    </row>
    <row r="275" spans="1:12">
      <c r="A275" t="s">
        <v>45</v>
      </c>
      <c r="B275" t="s">
        <v>10</v>
      </c>
      <c r="C275">
        <v>487464.91</v>
      </c>
      <c r="D275">
        <v>27808.6</v>
      </c>
      <c r="E275">
        <v>2863</v>
      </c>
      <c r="F275">
        <v>89.3</v>
      </c>
      <c r="G275">
        <v>4.0999999999999996</v>
      </c>
      <c r="H275">
        <v>0</v>
      </c>
      <c r="I275">
        <v>0</v>
      </c>
      <c r="J275">
        <v>1</v>
      </c>
      <c r="K275">
        <f>89288.89034
+1.202449548*D275
+33.98426571*E275
+2887.042076*F275
+11104.99019*G275
-8661.454863*H275
+13316.40767*I275
+8380.768503*J275</f>
        <v>531748.36723704287</v>
      </c>
      <c r="L275">
        <f>C275-K275</f>
        <v>-44283.457237042894</v>
      </c>
    </row>
    <row r="276" spans="1:12">
      <c r="A276" t="s">
        <v>105</v>
      </c>
      <c r="B276" t="s">
        <v>10</v>
      </c>
      <c r="C276">
        <v>546223.69999999995</v>
      </c>
      <c r="D276">
        <v>51996.32</v>
      </c>
      <c r="E276">
        <v>3834</v>
      </c>
      <c r="F276">
        <v>86.7</v>
      </c>
      <c r="G276">
        <v>4.5</v>
      </c>
      <c r="H276">
        <v>0</v>
      </c>
      <c r="I276">
        <v>0</v>
      </c>
      <c r="J276">
        <v>1</v>
      </c>
      <c r="K276">
        <f>89288.89034
+1.202449548*D276
+33.98426571*E276
+2887.042076*F276
+11104.99019*G276
-8661.454863*H276
+13316.40767*I276
+8380.768503*J276</f>
        <v>590767.28890100331</v>
      </c>
      <c r="L276">
        <f>C276-K276</f>
        <v>-44543.588901003357</v>
      </c>
    </row>
    <row r="277" spans="1:12">
      <c r="A277" t="s">
        <v>110</v>
      </c>
      <c r="B277" t="s">
        <v>32</v>
      </c>
      <c r="C277">
        <v>688368.46</v>
      </c>
      <c r="D277">
        <v>46767.99</v>
      </c>
      <c r="E277">
        <v>7973</v>
      </c>
      <c r="F277">
        <v>94.8</v>
      </c>
      <c r="G277">
        <v>3.9</v>
      </c>
      <c r="H277">
        <v>0</v>
      </c>
      <c r="I277">
        <v>0</v>
      </c>
      <c r="J277">
        <v>0</v>
      </c>
      <c r="K277">
        <f>89288.89034
+1.202449548*D277
+33.98426571*E277
+2887.042076*F277
+11104.99019*G277
-8661.454863*H277
+13316.40767*I277
+8380.768503*J277</f>
        <v>733482.63982799859</v>
      </c>
      <c r="L277">
        <f>C277-K277</f>
        <v>-45114.179827998625</v>
      </c>
    </row>
    <row r="278" spans="1:12">
      <c r="A278" t="s">
        <v>50</v>
      </c>
      <c r="B278" t="s">
        <v>8</v>
      </c>
      <c r="C278">
        <v>680840.36</v>
      </c>
      <c r="D278">
        <v>58749.63</v>
      </c>
      <c r="E278">
        <v>8252</v>
      </c>
      <c r="F278">
        <v>85.2</v>
      </c>
      <c r="G278">
        <v>4.5</v>
      </c>
      <c r="H278">
        <v>1</v>
      </c>
      <c r="I278">
        <v>0</v>
      </c>
      <c r="J278">
        <v>0</v>
      </c>
      <c r="K278">
        <f>89288.89034
+1.202449548*D278
+33.98426571*E278
+2887.042076*F278
+11104.99019*G278
-8661.454863*H278
+13316.40767*I278
+8380.768503*J278</f>
        <v>727657.50288478727</v>
      </c>
      <c r="L278">
        <f>C278-K278</f>
        <v>-46817.142884787288</v>
      </c>
    </row>
    <row r="279" spans="1:12">
      <c r="A279" t="s">
        <v>89</v>
      </c>
      <c r="B279" t="s">
        <v>8</v>
      </c>
      <c r="C279">
        <v>570963.31000000006</v>
      </c>
      <c r="D279">
        <v>37324.230000000003</v>
      </c>
      <c r="E279">
        <v>5957</v>
      </c>
      <c r="F279">
        <v>85.9</v>
      </c>
      <c r="G279">
        <v>3.8</v>
      </c>
      <c r="H279">
        <v>1</v>
      </c>
      <c r="I279">
        <v>0</v>
      </c>
      <c r="J279">
        <v>0</v>
      </c>
      <c r="K279">
        <f>89288.89034
+1.202449548*D279
+33.98426571*E279
+2887.042076*F279
+11104.99019*G279
-8661.454863*H279
+13316.40767*I279
+8380.768503*J279</f>
        <v>618148.08685481804</v>
      </c>
      <c r="L279">
        <f>C279-K279</f>
        <v>-47184.776854817988</v>
      </c>
    </row>
    <row r="280" spans="1:12">
      <c r="A280" t="s">
        <v>79</v>
      </c>
      <c r="B280" t="s">
        <v>8</v>
      </c>
      <c r="C280">
        <v>554012.06999999995</v>
      </c>
      <c r="D280">
        <v>54966.18</v>
      </c>
      <c r="E280">
        <v>4423</v>
      </c>
      <c r="F280">
        <v>88.7</v>
      </c>
      <c r="G280">
        <v>4.4000000000000004</v>
      </c>
      <c r="H280">
        <v>1</v>
      </c>
      <c r="I280">
        <v>0</v>
      </c>
      <c r="J280">
        <v>0</v>
      </c>
      <c r="K280">
        <f>89288.89034
+1.202449548*D280
+33.98426571*E280
+2887.042076*F280
+11104.99019*G280
-8661.454863*H280
+13316.40767*I280
+8380.768503*J280</f>
        <v>601976.48998581665</v>
      </c>
      <c r="L280">
        <f>C280-K280</f>
        <v>-47964.419985816698</v>
      </c>
    </row>
    <row r="281" spans="1:12">
      <c r="A281" t="s">
        <v>43</v>
      </c>
      <c r="B281" t="s">
        <v>10</v>
      </c>
      <c r="C281">
        <v>599603.4</v>
      </c>
      <c r="D281">
        <v>63630.21</v>
      </c>
      <c r="E281">
        <v>4460</v>
      </c>
      <c r="F281">
        <v>98.6</v>
      </c>
      <c r="G281">
        <v>3.5</v>
      </c>
      <c r="H281">
        <v>0</v>
      </c>
      <c r="I281">
        <v>0</v>
      </c>
      <c r="J281">
        <v>1</v>
      </c>
      <c r="K281">
        <f>89288.89034
+1.202449548*D281
+33.98426571*E281
+2887.042076*F281
+11104.99019*G281
-8661.454863*H281
+13316.40767*I281
+8380.768503*J281</f>
        <v>649281.41552184522</v>
      </c>
      <c r="L281">
        <f>C281-K281</f>
        <v>-49678.015521845198</v>
      </c>
    </row>
    <row r="282" spans="1:12">
      <c r="A282" t="s">
        <v>29</v>
      </c>
      <c r="B282" t="s">
        <v>8</v>
      </c>
      <c r="C282">
        <v>741341.44</v>
      </c>
      <c r="D282">
        <v>48412.639999999999</v>
      </c>
      <c r="E282">
        <v>9545</v>
      </c>
      <c r="F282">
        <v>97.6</v>
      </c>
      <c r="G282">
        <v>4.2</v>
      </c>
      <c r="H282">
        <v>1</v>
      </c>
      <c r="I282">
        <v>0</v>
      </c>
      <c r="J282">
        <v>0</v>
      </c>
      <c r="K282">
        <f>89288.89034
+1.202449548*D282
+33.98426571*E282
+2887.042076*F282
+11104.99019*G282
-8661.454863*H282
+13316.40767*I282
+8380.768503*J282</f>
        <v>791637.27418003685</v>
      </c>
      <c r="L282">
        <f>C282-K282</f>
        <v>-50295.834180036909</v>
      </c>
    </row>
    <row r="283" spans="1:12">
      <c r="A283" t="s">
        <v>83</v>
      </c>
      <c r="B283" t="s">
        <v>8</v>
      </c>
      <c r="C283">
        <v>671868.59</v>
      </c>
      <c r="D283">
        <v>37983.35</v>
      </c>
      <c r="E283">
        <v>9283</v>
      </c>
      <c r="F283">
        <v>83.2</v>
      </c>
      <c r="G283">
        <v>3.7</v>
      </c>
      <c r="H283">
        <v>1</v>
      </c>
      <c r="I283">
        <v>0</v>
      </c>
      <c r="J283">
        <v>0</v>
      </c>
      <c r="K283">
        <f>89288.89034
+1.202449548*D283
+33.98426571*E283
+2887.042076*F283
+11104.99019*G283
-8661.454863*H283
+13316.40767*I283
+8380.768503*J283</f>
        <v>723066.80052815587</v>
      </c>
      <c r="L283">
        <f>C283-K283</f>
        <v>-51198.210528155905</v>
      </c>
    </row>
    <row r="284" spans="1:12">
      <c r="A284" t="s">
        <v>102</v>
      </c>
      <c r="B284" t="s">
        <v>9</v>
      </c>
      <c r="C284">
        <v>524899.56999999995</v>
      </c>
      <c r="D284">
        <v>45940.39</v>
      </c>
      <c r="E284">
        <v>4022</v>
      </c>
      <c r="F284">
        <v>83</v>
      </c>
      <c r="G284">
        <v>3.8</v>
      </c>
      <c r="H284">
        <v>0</v>
      </c>
      <c r="I284">
        <v>1</v>
      </c>
      <c r="J284">
        <v>0</v>
      </c>
      <c r="K284">
        <f>89288.89034
+1.202449548*D284
+33.98426571*E284
+2887.042076*F284
+11104.99019*G284
-8661.454863*H284
+13316.40767*I284
+8380.768503*J284</f>
        <v>576354.47091606364</v>
      </c>
      <c r="L284">
        <f>C284-K284</f>
        <v>-51454.900916063692</v>
      </c>
    </row>
    <row r="285" spans="1:12">
      <c r="A285" t="s">
        <v>80</v>
      </c>
      <c r="B285" t="s">
        <v>10</v>
      </c>
      <c r="C285">
        <v>643428.85</v>
      </c>
      <c r="D285">
        <v>81796.740000000005</v>
      </c>
      <c r="E285">
        <v>6177</v>
      </c>
      <c r="F285">
        <v>87.9</v>
      </c>
      <c r="G285">
        <v>3.2</v>
      </c>
      <c r="H285">
        <v>0</v>
      </c>
      <c r="I285">
        <v>0</v>
      </c>
      <c r="J285">
        <v>1</v>
      </c>
      <c r="K285">
        <f>89288.89034
+1.202449548*D285
+33.98426571*E285
+2887.042076*F285
+11104.99019*G285
-8661.454863*H285
+13316.40767*I285
+8380.768503*J285</f>
        <v>695253.8882629436</v>
      </c>
      <c r="L285">
        <f>C285-K285</f>
        <v>-51825.038262943621</v>
      </c>
    </row>
    <row r="286" spans="1:12">
      <c r="A286" t="s">
        <v>62</v>
      </c>
      <c r="B286" t="s">
        <v>32</v>
      </c>
      <c r="C286">
        <v>509484.81</v>
      </c>
      <c r="D286">
        <v>43896.13</v>
      </c>
      <c r="E286">
        <v>3853</v>
      </c>
      <c r="F286">
        <v>83</v>
      </c>
      <c r="G286">
        <v>4.4000000000000004</v>
      </c>
      <c r="H286">
        <v>0</v>
      </c>
      <c r="I286">
        <v>0</v>
      </c>
      <c r="J286">
        <v>0</v>
      </c>
      <c r="K286">
        <f>89288.89034
+1.202449548*D286
+33.98426571*E286
+2887.042076*F286
+11104.99019*G286
-8661.454863*H286
+13316.40767*I286
+8380.768503*J286</f>
        <v>561499.59694207925</v>
      </c>
      <c r="L286">
        <f>C286-K286</f>
        <v>-52014.786942079256</v>
      </c>
    </row>
    <row r="287" spans="1:12">
      <c r="A287" t="s">
        <v>109</v>
      </c>
      <c r="B287" t="s">
        <v>9</v>
      </c>
      <c r="C287">
        <v>536524.84</v>
      </c>
      <c r="D287">
        <v>23702.38</v>
      </c>
      <c r="E287">
        <v>5285</v>
      </c>
      <c r="F287">
        <v>79.7</v>
      </c>
      <c r="G287">
        <v>4.3</v>
      </c>
      <c r="H287">
        <v>0</v>
      </c>
      <c r="I287">
        <v>1</v>
      </c>
      <c r="J287">
        <v>0</v>
      </c>
      <c r="K287">
        <f>89288.89034
+1.202449548*D287
+33.98426571*E287
+2887.042076*F287
+11104.99019*G287
-8661.454863*H287
+13316.40767*I287
+8380.768503*J287</f>
        <v>588561.76967907418</v>
      </c>
      <c r="L287">
        <f>C287-K287</f>
        <v>-52036.929679074208</v>
      </c>
    </row>
    <row r="288" spans="1:12">
      <c r="A288" t="s">
        <v>65</v>
      </c>
      <c r="B288" t="s">
        <v>32</v>
      </c>
      <c r="C288">
        <v>527300.13</v>
      </c>
      <c r="D288">
        <v>70276.28</v>
      </c>
      <c r="E288">
        <v>3043</v>
      </c>
      <c r="F288">
        <v>87.9</v>
      </c>
      <c r="G288">
        <v>4.4000000000000004</v>
      </c>
      <c r="H288">
        <v>0</v>
      </c>
      <c r="I288">
        <v>0</v>
      </c>
      <c r="J288">
        <v>0</v>
      </c>
      <c r="K288">
        <f>89288.89034
+1.202449548*D288
+33.98426571*E288
+2887.042076*F288
+11104.99019*G288
-8661.454863*H288
+13316.40767*I288
+8380.768503*J288</f>
        <v>579839.64733305143</v>
      </c>
      <c r="L288">
        <f>C288-K288</f>
        <v>-52539.517333051423</v>
      </c>
    </row>
    <row r="289" spans="1:12">
      <c r="A289" t="s">
        <v>65</v>
      </c>
      <c r="B289" t="s">
        <v>32</v>
      </c>
      <c r="C289">
        <v>400831.65</v>
      </c>
      <c r="D289">
        <v>22071.64</v>
      </c>
      <c r="E289">
        <v>1814</v>
      </c>
      <c r="F289">
        <v>81.099999999999994</v>
      </c>
      <c r="G289">
        <v>3.9</v>
      </c>
      <c r="H289">
        <v>0</v>
      </c>
      <c r="I289">
        <v>0</v>
      </c>
      <c r="J289">
        <v>0</v>
      </c>
      <c r="K289">
        <f>89288.89034
+1.202449548*D289
+33.98426571*E289
+2887.042076*F289
+11104.99019*G289
-8661.454863*H289
+13316.40767*I289
+8380.768503*J289</f>
        <v>454924.95598415873</v>
      </c>
      <c r="L289">
        <f>C289-K289</f>
        <v>-54093.305984158709</v>
      </c>
    </row>
    <row r="290" spans="1:12">
      <c r="A290" t="s">
        <v>34</v>
      </c>
      <c r="B290" t="s">
        <v>8</v>
      </c>
      <c r="C290">
        <v>726606.28</v>
      </c>
      <c r="D290">
        <v>55716.82</v>
      </c>
      <c r="E290">
        <v>10054</v>
      </c>
      <c r="F290">
        <v>84.9</v>
      </c>
      <c r="G290">
        <v>4.3</v>
      </c>
      <c r="H290">
        <v>1</v>
      </c>
      <c r="I290">
        <v>0</v>
      </c>
      <c r="J290">
        <v>0</v>
      </c>
      <c r="K290">
        <f>89288.89034
+1.202449548*D290
+33.98426571*E290
+2887.042076*F290
+11104.99019*G290
-8661.454863*H290
+13316.40767*I290
+8380.768503*J290</f>
        <v>782163.23801973742</v>
      </c>
      <c r="L290">
        <f>C290-K290</f>
        <v>-55556.958019737387</v>
      </c>
    </row>
    <row r="291" spans="1:12">
      <c r="A291" t="s">
        <v>111</v>
      </c>
      <c r="B291" t="s">
        <v>8</v>
      </c>
      <c r="C291">
        <v>620264.19999999995</v>
      </c>
      <c r="D291">
        <v>76614.320000000007</v>
      </c>
      <c r="E291">
        <v>5639</v>
      </c>
      <c r="F291">
        <v>92.9</v>
      </c>
      <c r="G291">
        <v>4</v>
      </c>
      <c r="H291">
        <v>1</v>
      </c>
      <c r="I291">
        <v>0</v>
      </c>
      <c r="J291">
        <v>0</v>
      </c>
      <c r="K291">
        <f>89288.89034
+1.202449548*D291
+33.98426571*E291
+2887.042076*F291
+11104.99019*G291
-8661.454863*H291
+13316.40767*I291
+8380.768503*J291</f>
        <v>677015.7338904175</v>
      </c>
      <c r="L291">
        <f>C291-K291</f>
        <v>-56751.533890417544</v>
      </c>
    </row>
    <row r="292" spans="1:12">
      <c r="A292" t="s">
        <v>72</v>
      </c>
      <c r="B292" t="s">
        <v>9</v>
      </c>
      <c r="C292">
        <v>650480.06000000006</v>
      </c>
      <c r="D292">
        <v>41443.410000000003</v>
      </c>
      <c r="E292">
        <v>7455</v>
      </c>
      <c r="F292">
        <v>90.1</v>
      </c>
      <c r="G292">
        <v>4</v>
      </c>
      <c r="H292">
        <v>0</v>
      </c>
      <c r="I292">
        <v>1</v>
      </c>
      <c r="J292">
        <v>0</v>
      </c>
      <c r="K292">
        <f>89288.89034
+1.202449548*D292
+33.98426571*E292
+2887.042076*F292
+11104.99019*G292
-8661.454863*H292
+13316.40767*I292
+8380.768503*J292</f>
        <v>710334.06030772871</v>
      </c>
      <c r="L292">
        <f>C292-K292</f>
        <v>-59854.000307728653</v>
      </c>
    </row>
    <row r="293" spans="1:12">
      <c r="A293" t="s">
        <v>99</v>
      </c>
      <c r="B293" t="s">
        <v>8</v>
      </c>
      <c r="C293">
        <v>593343</v>
      </c>
      <c r="D293">
        <v>29344.93</v>
      </c>
      <c r="E293">
        <v>7446</v>
      </c>
      <c r="F293">
        <v>86.2</v>
      </c>
      <c r="G293">
        <v>3.2</v>
      </c>
      <c r="H293">
        <v>1</v>
      </c>
      <c r="I293">
        <v>0</v>
      </c>
      <c r="J293">
        <v>0</v>
      </c>
      <c r="K293">
        <f>89288.89034
+1.202449548*D293
+33.98426571*E293
+2887.042076*F293
+11104.99019*G293
-8661.454863*H293
+13316.40767*I293
+8380.768503*J293</f>
        <v>653359.07132745173</v>
      </c>
      <c r="L293">
        <f>C293-K293</f>
        <v>-60016.071327451733</v>
      </c>
    </row>
    <row r="294" spans="1:12">
      <c r="A294" t="s">
        <v>27</v>
      </c>
      <c r="B294" t="s">
        <v>8</v>
      </c>
      <c r="C294">
        <v>634436</v>
      </c>
      <c r="D294">
        <v>43827.89</v>
      </c>
      <c r="E294">
        <v>8487</v>
      </c>
      <c r="F294">
        <v>84.4</v>
      </c>
      <c r="G294">
        <v>2.8</v>
      </c>
      <c r="H294">
        <v>1</v>
      </c>
      <c r="I294">
        <v>0</v>
      </c>
      <c r="J294">
        <v>0</v>
      </c>
      <c r="K294">
        <f>89288.89034
+1.202449548*D294
+33.98426571*E294
+2887.042076*F294
+11104.99019*G294
-8661.454863*H294
+13316.40767*I294
+8380.768503*J294</f>
        <v>696513.04882446385</v>
      </c>
      <c r="L294">
        <f>C294-K294</f>
        <v>-62077.048824463855</v>
      </c>
    </row>
    <row r="295" spans="1:12">
      <c r="A295" t="s">
        <v>40</v>
      </c>
      <c r="B295" t="s">
        <v>32</v>
      </c>
      <c r="C295">
        <v>799477.76000000001</v>
      </c>
      <c r="D295">
        <v>73771.91</v>
      </c>
      <c r="E295">
        <v>11695</v>
      </c>
      <c r="F295">
        <v>84.7</v>
      </c>
      <c r="G295">
        <v>3.9</v>
      </c>
      <c r="H295">
        <v>0</v>
      </c>
      <c r="I295">
        <v>0</v>
      </c>
      <c r="J295">
        <v>0</v>
      </c>
      <c r="K295">
        <f>89288.89034
+1.202449548*D295
+33.98426571*E295
+2887.042076*F295
+11104.99019*G295
-8661.454863*H295
+13316.40767*I295
+8380.768503*J295</f>
        <v>863283.80323124677</v>
      </c>
      <c r="L295">
        <f>C295-K295</f>
        <v>-63806.04323124676</v>
      </c>
    </row>
    <row r="296" spans="1:12">
      <c r="A296" t="s">
        <v>64</v>
      </c>
      <c r="B296" t="s">
        <v>8</v>
      </c>
      <c r="C296">
        <v>725235.28</v>
      </c>
      <c r="D296">
        <v>50735.63</v>
      </c>
      <c r="E296">
        <v>9619</v>
      </c>
      <c r="F296">
        <v>93.8</v>
      </c>
      <c r="G296">
        <v>4.5</v>
      </c>
      <c r="H296">
        <v>1</v>
      </c>
      <c r="I296">
        <v>0</v>
      </c>
      <c r="J296">
        <v>0</v>
      </c>
      <c r="K296">
        <f>89288.89034
+1.202449548*D296
+33.98426571*E296
+2887.042076*F296
+11104.99019*G296
-8661.454863*H296
+13316.40767*I296
+8380.768503*J296</f>
        <v>789306.12528628518</v>
      </c>
      <c r="L296">
        <f>C296-K296</f>
        <v>-64070.845286285155</v>
      </c>
    </row>
    <row r="297" spans="1:12">
      <c r="A297" t="s">
        <v>83</v>
      </c>
      <c r="B297" t="s">
        <v>8</v>
      </c>
      <c r="C297">
        <v>675917.63</v>
      </c>
      <c r="D297">
        <v>56413.83</v>
      </c>
      <c r="E297">
        <v>8303</v>
      </c>
      <c r="F297">
        <v>93.6</v>
      </c>
      <c r="G297">
        <v>3.7</v>
      </c>
      <c r="H297">
        <v>1</v>
      </c>
      <c r="I297">
        <v>0</v>
      </c>
      <c r="J297">
        <v>0</v>
      </c>
      <c r="K297">
        <f>89288.89034
+1.202449548*D297
+33.98426571*E297
+2887.042076*F297
+11104.99019*G297
-8661.454863*H297
+13316.40767*I297
+8380.768503*J297</f>
        <v>741949.1800681788</v>
      </c>
      <c r="L297">
        <f>C297-K297</f>
        <v>-66031.550068178796</v>
      </c>
    </row>
    <row r="298" spans="1:12">
      <c r="A298" t="s">
        <v>99</v>
      </c>
      <c r="B298" t="s">
        <v>8</v>
      </c>
      <c r="C298">
        <v>660633.99</v>
      </c>
      <c r="D298">
        <v>48752.92</v>
      </c>
      <c r="E298">
        <v>8052</v>
      </c>
      <c r="F298">
        <v>94.9</v>
      </c>
      <c r="G298">
        <v>3.6</v>
      </c>
      <c r="H298">
        <v>1</v>
      </c>
      <c r="I298">
        <v>0</v>
      </c>
      <c r="J298">
        <v>0</v>
      </c>
      <c r="K298">
        <f>89288.89034
+1.202449548*D298
+33.98426571*E298
+2887.042076*F298
+11104.99019*G298
-8661.454863*H298
+13316.40767*I298
+8380.768503*J298</f>
        <v>726849.92728800024</v>
      </c>
      <c r="L298">
        <f>C298-K298</f>
        <v>-66215.937288000248</v>
      </c>
    </row>
    <row r="299" spans="1:12">
      <c r="A299" t="s">
        <v>108</v>
      </c>
      <c r="B299" t="s">
        <v>9</v>
      </c>
      <c r="C299">
        <v>651164.18000000005</v>
      </c>
      <c r="D299">
        <v>60684.05</v>
      </c>
      <c r="E299">
        <v>6399</v>
      </c>
      <c r="F299">
        <v>99</v>
      </c>
      <c r="G299">
        <v>3.5</v>
      </c>
      <c r="H299">
        <v>0</v>
      </c>
      <c r="I299">
        <v>1</v>
      </c>
      <c r="J299">
        <v>0</v>
      </c>
      <c r="K299">
        <f>89288.89034
+1.202449548*D299
+33.98426571*E299
+2887.042076*F299
+11104.99019*G299
-8661.454863*H299
+13316.40767*I299
+8380.768503*J299</f>
        <v>717724.75397059938</v>
      </c>
      <c r="L299">
        <f>C299-K299</f>
        <v>-66560.573970599333</v>
      </c>
    </row>
    <row r="300" spans="1:12">
      <c r="A300" t="s">
        <v>62</v>
      </c>
      <c r="B300" t="s">
        <v>32</v>
      </c>
      <c r="C300">
        <v>441275.42</v>
      </c>
      <c r="D300">
        <v>19063.48</v>
      </c>
      <c r="E300">
        <v>1906</v>
      </c>
      <c r="F300">
        <v>97.8</v>
      </c>
      <c r="G300">
        <v>4.4000000000000004</v>
      </c>
      <c r="H300">
        <v>0</v>
      </c>
      <c r="I300">
        <v>0</v>
      </c>
      <c r="J300">
        <v>0</v>
      </c>
      <c r="K300">
        <f>89288.89034
+1.202449548*D300
+33.98426571*E300
+2887.042076*F300
+11104.99019*G300
-8661.454863*H300
+13316.40767*I300
+8380.768503*J300</f>
        <v>508200.44556136703</v>
      </c>
      <c r="L300">
        <f>C300-K300</f>
        <v>-66925.025561367045</v>
      </c>
    </row>
    <row r="301" spans="1:12">
      <c r="A301" t="s">
        <v>84</v>
      </c>
      <c r="B301" t="s">
        <v>8</v>
      </c>
      <c r="C301">
        <v>691288.19</v>
      </c>
      <c r="D301">
        <v>62949.7</v>
      </c>
      <c r="E301">
        <v>9458</v>
      </c>
      <c r="F301">
        <v>84.9</v>
      </c>
      <c r="G301">
        <v>3.3</v>
      </c>
      <c r="H301">
        <v>1</v>
      </c>
      <c r="I301">
        <v>0</v>
      </c>
      <c r="J301">
        <v>0</v>
      </c>
      <c r="K301">
        <f>89288.89034
+1.202449548*D301
+33.98426571*E301
+2887.042076*F301
+11104.99019*G301
-8661.454863*H301
+13316.40767*I301
+8380.768503*J301</f>
        <v>759500.7987533157</v>
      </c>
      <c r="L301">
        <f>C301-K301</f>
        <v>-68212.608753315755</v>
      </c>
    </row>
    <row r="302" spans="1:12">
      <c r="A302" t="s">
        <v>50</v>
      </c>
      <c r="B302" t="s">
        <v>8</v>
      </c>
      <c r="C302">
        <v>630829.93999999994</v>
      </c>
      <c r="D302">
        <v>53762.92</v>
      </c>
      <c r="E302">
        <v>6821</v>
      </c>
      <c r="F302">
        <v>94.6</v>
      </c>
      <c r="G302">
        <v>4.4000000000000004</v>
      </c>
      <c r="H302">
        <v>1</v>
      </c>
      <c r="I302">
        <v>0</v>
      </c>
      <c r="J302">
        <v>0</v>
      </c>
      <c r="K302">
        <f>89288.89034
+1.202449548*D302
+33.98426571*E302
+2887.042076*F302
+11104.99019*G302
-8661.454863*H302
+13316.40767*I302
+8380.768503*J302</f>
        <v>699057.44796367013</v>
      </c>
      <c r="L302">
        <f>C302-K302</f>
        <v>-68227.507963670185</v>
      </c>
    </row>
    <row r="303" spans="1:12">
      <c r="A303" t="s">
        <v>91</v>
      </c>
      <c r="B303" t="s">
        <v>10</v>
      </c>
      <c r="C303">
        <v>721079.35</v>
      </c>
      <c r="D303">
        <v>46495.4</v>
      </c>
      <c r="E303">
        <v>9908</v>
      </c>
      <c r="F303">
        <v>89.4</v>
      </c>
      <c r="G303">
        <v>3.7</v>
      </c>
      <c r="H303">
        <v>0</v>
      </c>
      <c r="I303">
        <v>0</v>
      </c>
      <c r="J303">
        <v>1</v>
      </c>
      <c r="K303">
        <f>89288.89034
+1.202449548*D303
+33.98426571*E303
+2887.042076*F303
+11104.99019*G303
-8661.454863*H303
+13316.40767*I303
+8380.768503*J303</f>
        <v>789484.16150915925</v>
      </c>
      <c r="L303">
        <f>C303-K303</f>
        <v>-68404.811509159277</v>
      </c>
    </row>
    <row r="304" spans="1:12">
      <c r="A304" t="s">
        <v>106</v>
      </c>
      <c r="B304" t="s">
        <v>10</v>
      </c>
      <c r="C304">
        <v>401582.58</v>
      </c>
      <c r="D304">
        <v>24362.98</v>
      </c>
      <c r="E304">
        <v>1462</v>
      </c>
      <c r="F304">
        <v>89.3</v>
      </c>
      <c r="G304">
        <v>3.2</v>
      </c>
      <c r="H304">
        <v>0</v>
      </c>
      <c r="I304">
        <v>0</v>
      </c>
      <c r="J304">
        <v>1</v>
      </c>
      <c r="K304">
        <f>89288.89034
+1.202449548*D304
+33.98426571*E304
+2887.042076*F304
+11104.99019*G304
-8661.454863*H304
+13316.40767*I304
+8380.768503*J304</f>
        <v>469998.73559475306</v>
      </c>
      <c r="L304">
        <f>C304-K304</f>
        <v>-68416.155594753043</v>
      </c>
    </row>
    <row r="305" spans="1:12">
      <c r="A305" t="s">
        <v>39</v>
      </c>
      <c r="B305" t="s">
        <v>8</v>
      </c>
      <c r="C305">
        <v>427917.38</v>
      </c>
      <c r="D305">
        <v>69816.350000000006</v>
      </c>
      <c r="E305">
        <v>971</v>
      </c>
      <c r="F305">
        <v>89.9</v>
      </c>
      <c r="G305">
        <v>3.6</v>
      </c>
      <c r="H305">
        <v>1</v>
      </c>
      <c r="I305">
        <v>0</v>
      </c>
      <c r="J305">
        <v>0</v>
      </c>
      <c r="K305">
        <f>89288.89034
+1.202449548*D305
+33.98426571*E305
+2887.042076*F305
+11104.99019*G305
-8661.454863*H305
+13316.40767*I305
+8380.768503*J305</f>
        <v>497099.84329831979</v>
      </c>
      <c r="L305">
        <f>C305-K305</f>
        <v>-69182.463298319781</v>
      </c>
    </row>
    <row r="306" spans="1:12">
      <c r="A306" t="s">
        <v>39</v>
      </c>
      <c r="B306" t="s">
        <v>8</v>
      </c>
      <c r="C306">
        <v>511844.41</v>
      </c>
      <c r="D306">
        <v>68600.62</v>
      </c>
      <c r="E306">
        <v>3988</v>
      </c>
      <c r="F306">
        <v>85</v>
      </c>
      <c r="G306">
        <v>3.6</v>
      </c>
      <c r="H306">
        <v>1</v>
      </c>
      <c r="I306">
        <v>0</v>
      </c>
      <c r="J306">
        <v>0</v>
      </c>
      <c r="K306">
        <f>89288.89034
+1.202449548*D306
+33.98426571*E306
+2887.042076*F306
+11104.99019*G306
-8661.454863*H306
+13316.40767*I306
+8380.768503*J306</f>
        <v>584022.01278399979</v>
      </c>
      <c r="L306">
        <f>C306-K306</f>
        <v>-72177.602783999813</v>
      </c>
    </row>
    <row r="307" spans="1:12">
      <c r="A307" t="s">
        <v>27</v>
      </c>
      <c r="B307" t="s">
        <v>8</v>
      </c>
      <c r="C307">
        <v>678722.06</v>
      </c>
      <c r="D307">
        <v>59921.75</v>
      </c>
      <c r="E307">
        <v>9113</v>
      </c>
      <c r="F307">
        <v>88</v>
      </c>
      <c r="G307">
        <v>3.2</v>
      </c>
      <c r="H307">
        <v>1</v>
      </c>
      <c r="I307">
        <v>0</v>
      </c>
      <c r="J307">
        <v>0</v>
      </c>
      <c r="K307">
        <f>89288.89034
+1.202449548*D307
+33.98426571*E307
+2887.042076*F307
+11104.99019*G307
-8661.454863*H307
+13316.40767*I307
+8380.768503*J307</f>
        <v>751974.60139109904</v>
      </c>
      <c r="L307">
        <f>C307-K307</f>
        <v>-73252.541391098988</v>
      </c>
    </row>
    <row r="308" spans="1:12">
      <c r="A308" t="s">
        <v>74</v>
      </c>
      <c r="B308" t="s">
        <v>8</v>
      </c>
      <c r="C308">
        <v>593637.14</v>
      </c>
      <c r="D308">
        <v>32834.480000000003</v>
      </c>
      <c r="E308">
        <v>7576</v>
      </c>
      <c r="F308">
        <v>84.1</v>
      </c>
      <c r="G308">
        <v>5</v>
      </c>
      <c r="H308">
        <v>1</v>
      </c>
      <c r="I308">
        <v>0</v>
      </c>
      <c r="J308">
        <v>0</v>
      </c>
      <c r="K308">
        <f>89288.89034
+1.202449548*D308
+33.98426571*E308
+2887.042076*F308
+11104.99019*G308
-8661.454863*H308
+13316.40767*I308
+8380.768503*J308</f>
        <v>675899.22767237504</v>
      </c>
      <c r="L308">
        <f>C308-K308</f>
        <v>-82262.087672375026</v>
      </c>
    </row>
    <row r="309" spans="1:12">
      <c r="A309" t="s">
        <v>61</v>
      </c>
      <c r="B309" t="s">
        <v>10</v>
      </c>
      <c r="C309">
        <v>684217.32</v>
      </c>
      <c r="D309">
        <v>42415.47</v>
      </c>
      <c r="E309">
        <v>8512</v>
      </c>
      <c r="F309">
        <v>96.8</v>
      </c>
      <c r="G309">
        <v>4.5999999999999996</v>
      </c>
      <c r="H309">
        <v>0</v>
      </c>
      <c r="I309">
        <v>0</v>
      </c>
      <c r="J309">
        <v>1</v>
      </c>
      <c r="K309">
        <f>89288.89034
+1.202449548*D309
+33.98426571*E309
+2887.042076*F309
+11104.99019*G309
-8661.454863*H309
+13316.40767*I309
+8380.768503*J309</f>
        <v>768494.81912702764</v>
      </c>
      <c r="L309">
        <f>C309-K309</f>
        <v>-84277.499127027695</v>
      </c>
    </row>
    <row r="310" spans="1:12">
      <c r="A310" t="s">
        <v>101</v>
      </c>
      <c r="B310" t="s">
        <v>9</v>
      </c>
      <c r="C310">
        <v>673076.34</v>
      </c>
      <c r="D310">
        <v>61784.11</v>
      </c>
      <c r="E310">
        <v>8564</v>
      </c>
      <c r="F310">
        <v>87.4</v>
      </c>
      <c r="G310">
        <v>3.4</v>
      </c>
      <c r="H310">
        <v>0</v>
      </c>
      <c r="I310">
        <v>1</v>
      </c>
      <c r="J310">
        <v>0</v>
      </c>
      <c r="K310">
        <f>89288.89034
+1.202449548*D310
+33.98426571*E310
+2887.042076*F310
+11104.99019*G310
-8661.454863*H310
+13316.40767*I310
+8380.768503*J310</f>
        <v>758023.26878192241</v>
      </c>
      <c r="L310">
        <f>C310-K310</f>
        <v>-84946.928781922441</v>
      </c>
    </row>
    <row r="311" spans="1:12">
      <c r="A311" t="s">
        <v>66</v>
      </c>
      <c r="B311" t="s">
        <v>9</v>
      </c>
      <c r="C311">
        <v>633638.03</v>
      </c>
      <c r="D311">
        <v>71320.66</v>
      </c>
      <c r="E311">
        <v>7888</v>
      </c>
      <c r="F311">
        <v>78.099999999999994</v>
      </c>
      <c r="G311">
        <v>3.9</v>
      </c>
      <c r="H311">
        <v>0</v>
      </c>
      <c r="I311">
        <v>1</v>
      </c>
      <c r="J311">
        <v>0</v>
      </c>
      <c r="K311">
        <f>89288.89034
+1.202449548*D311
+33.98426571*E311
+2887.042076*F311
+11104.99019*G311
-8661.454863*H311
+13316.40767*I311
+8380.768503*J311</f>
        <v>725220.12918714166</v>
      </c>
      <c r="L311">
        <f>C311-K311</f>
        <v>-91582.099187141634</v>
      </c>
    </row>
    <row r="312" spans="1:12">
      <c r="A312" t="s">
        <v>80</v>
      </c>
      <c r="B312" t="s">
        <v>10</v>
      </c>
      <c r="C312">
        <v>449465.06</v>
      </c>
      <c r="D312">
        <v>41657.64</v>
      </c>
      <c r="E312">
        <v>3135</v>
      </c>
      <c r="F312">
        <v>85.4</v>
      </c>
      <c r="G312">
        <v>3.9</v>
      </c>
      <c r="H312">
        <v>0</v>
      </c>
      <c r="I312">
        <v>0</v>
      </c>
      <c r="J312">
        <v>1</v>
      </c>
      <c r="K312">
        <f>89288.89034
+1.202449548*D312
+33.98426571*E312
+2887.042076*F312
+11104.99019*G312
-8661.454863*H312
+13316.40767*I312
+8380.768503*J312</f>
        <v>544164.39726399677</v>
      </c>
      <c r="L312">
        <f>C312-K312</f>
        <v>-94699.337263996771</v>
      </c>
    </row>
    <row r="313" spans="1:12">
      <c r="A313" t="s">
        <v>45</v>
      </c>
      <c r="B313" t="s">
        <v>10</v>
      </c>
      <c r="C313">
        <v>463534.25</v>
      </c>
      <c r="D313">
        <v>53015.46</v>
      </c>
      <c r="E313">
        <v>3279</v>
      </c>
      <c r="F313">
        <v>84.3</v>
      </c>
      <c r="G313">
        <v>3.9</v>
      </c>
      <c r="H313">
        <v>0</v>
      </c>
      <c r="I313">
        <v>0</v>
      </c>
      <c r="J313">
        <v>1</v>
      </c>
      <c r="K313">
        <f>89288.89034
+1.202449548*D313
+33.98426571*E313
+2887.042076*F313
+11104.99019*G313
-8661.454863*H313
+13316.40767*I313
+8380.768503*J313</f>
        <v>559539.59076790209</v>
      </c>
      <c r="L313">
        <f>C313-K313</f>
        <v>-96005.340767902089</v>
      </c>
    </row>
    <row r="314" spans="1:12">
      <c r="A314" t="s">
        <v>27</v>
      </c>
      <c r="B314" t="s">
        <v>8</v>
      </c>
      <c r="C314">
        <v>658920.30000000005</v>
      </c>
      <c r="D314">
        <v>56856.63</v>
      </c>
      <c r="E314">
        <v>9431</v>
      </c>
      <c r="F314">
        <v>86.9</v>
      </c>
      <c r="G314">
        <v>3.4</v>
      </c>
      <c r="H314">
        <v>1</v>
      </c>
      <c r="I314">
        <v>0</v>
      </c>
      <c r="J314">
        <v>0</v>
      </c>
      <c r="K314">
        <f>89288.89034
+1.202449548*D314
+33.98426571*E314
+2887.042076*F314
+11104.99019*G314
-8661.454863*H314
+13316.40767*I314
+8380.768503*J314</f>
        <v>758141.19748271338</v>
      </c>
      <c r="L314">
        <f>C314-K314</f>
        <v>-99220.897482713335</v>
      </c>
    </row>
    <row r="315" spans="1:12">
      <c r="A315" t="s">
        <v>37</v>
      </c>
      <c r="B315" t="s">
        <v>10</v>
      </c>
      <c r="C315">
        <v>800451.94</v>
      </c>
      <c r="D315">
        <v>172415.52</v>
      </c>
      <c r="E315">
        <v>8927</v>
      </c>
      <c r="F315">
        <v>86.2</v>
      </c>
      <c r="G315">
        <v>3.9</v>
      </c>
      <c r="H315">
        <v>0</v>
      </c>
      <c r="I315">
        <v>0</v>
      </c>
      <c r="J315">
        <v>1</v>
      </c>
      <c r="K315">
        <f>89288.89034
+1.202449548*D315
+33.98426571*E315
+2887.042076*F315
+11104.99019*G315
-8661.454863*H315
+13316.40767*I315
+8380.768503*J315</f>
        <v>900540.65162055497</v>
      </c>
      <c r="L315">
        <f>C315-K315</f>
        <v>-100088.71162055503</v>
      </c>
    </row>
    <row r="316" spans="1:12">
      <c r="A316" t="s">
        <v>36</v>
      </c>
      <c r="B316" t="s">
        <v>32</v>
      </c>
      <c r="C316">
        <v>415721.82</v>
      </c>
      <c r="D316">
        <v>30356.28</v>
      </c>
      <c r="E316">
        <v>2822</v>
      </c>
      <c r="F316">
        <v>84.8</v>
      </c>
      <c r="G316">
        <v>5</v>
      </c>
      <c r="H316">
        <v>0</v>
      </c>
      <c r="I316">
        <v>0</v>
      </c>
      <c r="J316">
        <v>0</v>
      </c>
      <c r="K316">
        <f>89288.89034
+1.202449548*D316
+33.98426571*E316
+2887.042076*F316
+11104.99019*G316
-8661.454863*H316
+13316.40767*I316
+8380.768503*J316</f>
        <v>522040.50233338145</v>
      </c>
      <c r="L316">
        <f>C316-K316</f>
        <v>-106318.68233338144</v>
      </c>
    </row>
    <row r="317" spans="1:12">
      <c r="A317" t="s">
        <v>108</v>
      </c>
      <c r="B317" t="s">
        <v>9</v>
      </c>
      <c r="C317">
        <v>538376</v>
      </c>
      <c r="D317">
        <v>46146.239999999998</v>
      </c>
      <c r="E317">
        <v>5804</v>
      </c>
      <c r="F317">
        <v>86.9</v>
      </c>
      <c r="G317">
        <v>3.8</v>
      </c>
      <c r="H317">
        <v>0</v>
      </c>
      <c r="I317">
        <v>1</v>
      </c>
      <c r="J317">
        <v>0</v>
      </c>
      <c r="K317">
        <f>89288.89034
+1.202449548*D317
+33.98426571*E317
+2887.042076*F317
+11104.99019*G317
-8661.454863*H317
+13316.40767*I317
+8380.768503*J317</f>
        <v>648421.42074713949</v>
      </c>
      <c r="L317">
        <f>C317-K317</f>
        <v>-110045.42074713949</v>
      </c>
    </row>
    <row r="318" spans="1:12">
      <c r="A318" t="s">
        <v>40</v>
      </c>
      <c r="B318" t="s">
        <v>32</v>
      </c>
      <c r="C318">
        <v>641865.03</v>
      </c>
      <c r="D318">
        <v>54597.83</v>
      </c>
      <c r="E318">
        <v>9429</v>
      </c>
      <c r="F318">
        <v>83.3</v>
      </c>
      <c r="G318">
        <v>4.2</v>
      </c>
      <c r="H318">
        <v>0</v>
      </c>
      <c r="I318">
        <v>0</v>
      </c>
      <c r="J318">
        <v>0</v>
      </c>
      <c r="K318">
        <f>89288.89034
+1.202449548*D318
+33.98426571*E318
+2887.042076*F318
+11104.99019*G318
-8661.454863*H318
+13316.40767*I318
+8380.768503*J318</f>
        <v>762509.23145367089</v>
      </c>
      <c r="L318">
        <f>C318-K318</f>
        <v>-120644.20145367086</v>
      </c>
    </row>
    <row r="319" spans="1:12">
      <c r="A319" t="s">
        <v>54</v>
      </c>
      <c r="B319" t="s">
        <v>9</v>
      </c>
      <c r="C319">
        <v>627171.9</v>
      </c>
      <c r="D319">
        <v>141540.29</v>
      </c>
      <c r="E319">
        <v>5400</v>
      </c>
      <c r="F319">
        <v>87</v>
      </c>
      <c r="G319">
        <v>4.5</v>
      </c>
      <c r="H319">
        <v>0</v>
      </c>
      <c r="I319">
        <v>1</v>
      </c>
      <c r="J319">
        <v>0</v>
      </c>
      <c r="K319">
        <f>89288.89034
+1.202449548*D319
+33.98426571*E319
+2887.042076*F319
+11104.99019*G319
-8661.454863*H319
+13316.40767*I319
+8380.768503*J319</f>
        <v>757460.50704528892</v>
      </c>
      <c r="L319">
        <f>C319-K319</f>
        <v>-130288.6070452889</v>
      </c>
    </row>
    <row r="320" spans="1:12">
      <c r="A320" t="s">
        <v>43</v>
      </c>
      <c r="B320" t="s">
        <v>10</v>
      </c>
      <c r="C320">
        <v>595467.6</v>
      </c>
      <c r="D320">
        <v>138855.51</v>
      </c>
      <c r="E320">
        <v>5145</v>
      </c>
      <c r="F320">
        <v>88.2</v>
      </c>
      <c r="G320">
        <v>3.2</v>
      </c>
      <c r="H320">
        <v>0</v>
      </c>
      <c r="I320">
        <v>0</v>
      </c>
      <c r="J320">
        <v>1</v>
      </c>
      <c r="K320">
        <f>89288.89034
+1.202449548*D320
+33.98426571*E320
+2887.042076*F320
+11104.99019*G320
-8661.454863*H320
+13316.40767*I320
+8380.768503*J320</f>
        <v>729658.5308689595</v>
      </c>
      <c r="L320">
        <f>C320-K320</f>
        <v>-134190.93086895952</v>
      </c>
    </row>
    <row r="321" spans="1:12">
      <c r="A321" t="s">
        <v>48</v>
      </c>
      <c r="B321" t="s">
        <v>10</v>
      </c>
      <c r="C321">
        <v>685379.08</v>
      </c>
      <c r="D321">
        <v>79346.100000000006</v>
      </c>
      <c r="E321">
        <v>9628</v>
      </c>
      <c r="F321">
        <v>99</v>
      </c>
      <c r="G321">
        <v>3.2</v>
      </c>
      <c r="H321">
        <v>0</v>
      </c>
      <c r="I321">
        <v>0</v>
      </c>
      <c r="J321">
        <v>1</v>
      </c>
      <c r="K321">
        <f>89288.89034
+1.202449548*D321
+33.98426571*E321
+2887.042076*F321
+11104.99019*G321
-8661.454863*H321
+13316.40767*I321
+8380.768503*J321</f>
        <v>841632.98531144287</v>
      </c>
      <c r="L321">
        <f>C321-K321</f>
        <v>-156253.90531144291</v>
      </c>
    </row>
  </sheetData>
  <sortState xmlns:xlrd2="http://schemas.microsoft.com/office/spreadsheetml/2017/richdata2" ref="A2:L321">
    <sortCondition descending="1" ref="L2:L321"/>
  </sortState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>
      <selection activeCell="A2" sqref="A2"/>
    </sheetView>
  </sheetViews>
  <sheetFormatPr defaultRowHeight="14.4"/>
  <cols>
    <col min="2" max="2" width="28.109375" customWidth="1"/>
    <col min="3" max="3" width="9.33203125" customWidth="1"/>
    <col min="4" max="4" width="22.77734375" customWidth="1"/>
    <col min="5" max="5" width="14.6640625" customWidth="1"/>
  </cols>
  <sheetData>
    <row r="1" spans="1:5" ht="18">
      <c r="A1" s="16" t="s">
        <v>164</v>
      </c>
      <c r="B1" s="16"/>
      <c r="C1" s="16"/>
      <c r="D1" s="16"/>
      <c r="E1" s="16"/>
    </row>
    <row r="3" spans="1:5">
      <c r="A3" s="17" t="s">
        <v>14</v>
      </c>
      <c r="B3" s="17" t="s">
        <v>156</v>
      </c>
      <c r="C3" s="18" t="s">
        <v>145</v>
      </c>
      <c r="D3" s="17" t="s">
        <v>157</v>
      </c>
      <c r="E3" s="17" t="s">
        <v>158</v>
      </c>
    </row>
    <row r="4" spans="1:5">
      <c r="A4" s="19" t="s">
        <v>159</v>
      </c>
      <c r="B4" s="19" t="s">
        <v>146</v>
      </c>
      <c r="C4" s="20">
        <v>0.16700000000000001</v>
      </c>
      <c r="D4" s="19" t="s">
        <v>146</v>
      </c>
      <c r="E4" s="19" t="s">
        <v>152</v>
      </c>
    </row>
    <row r="5" spans="1:5">
      <c r="A5" s="19" t="s">
        <v>160</v>
      </c>
      <c r="B5" s="19" t="s">
        <v>6</v>
      </c>
      <c r="C5" s="20">
        <v>0.73599999999999999</v>
      </c>
      <c r="D5" s="19" t="s">
        <v>6</v>
      </c>
      <c r="E5" s="19" t="s">
        <v>152</v>
      </c>
    </row>
    <row r="6" spans="1:5" ht="28.8">
      <c r="A6" s="19" t="s">
        <v>161</v>
      </c>
      <c r="B6" s="19" t="s">
        <v>162</v>
      </c>
      <c r="C6" s="20">
        <v>0.81399999999999995</v>
      </c>
      <c r="D6" s="19" t="s">
        <v>163</v>
      </c>
      <c r="E6" s="24" t="s">
        <v>153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A37F-E0A1-42F5-BFE1-62B446E6CF74}">
  <dimension ref="A1:I344"/>
  <sheetViews>
    <sheetView workbookViewId="0">
      <selection activeCell="Q1" sqref="Q1"/>
    </sheetView>
  </sheetViews>
  <sheetFormatPr defaultRowHeight="14.4"/>
  <cols>
    <col min="1" max="1" width="17.44140625" bestFit="1" customWidth="1"/>
    <col min="2" max="2" width="21.44140625" bestFit="1" customWidth="1"/>
    <col min="3" max="3" width="13.44140625" bestFit="1" customWidth="1"/>
    <col min="4" max="5" width="12" bestFit="1" customWidth="1"/>
    <col min="6" max="6" width="12.44140625" bestFit="1" customWidth="1"/>
    <col min="7" max="7" width="12" bestFit="1" customWidth="1"/>
    <col min="8" max="9" width="12.109375" bestFit="1" customWidth="1"/>
  </cols>
  <sheetData>
    <row r="1" spans="1:9">
      <c r="A1" t="s">
        <v>113</v>
      </c>
    </row>
    <row r="2" spans="1:9" ht="15" thickBot="1"/>
    <row r="3" spans="1:9">
      <c r="A3" s="10" t="s">
        <v>114</v>
      </c>
      <c r="B3" s="10"/>
    </row>
    <row r="4" spans="1:9">
      <c r="A4" s="7" t="s">
        <v>115</v>
      </c>
      <c r="B4" s="7">
        <v>0.40895561021322352</v>
      </c>
    </row>
    <row r="5" spans="1:9">
      <c r="A5" s="7" t="s">
        <v>116</v>
      </c>
      <c r="B5" s="7">
        <v>0.16724469112487</v>
      </c>
    </row>
    <row r="6" spans="1:9">
      <c r="A6" s="7" t="s">
        <v>117</v>
      </c>
      <c r="B6" s="7">
        <v>0.16462596373847024</v>
      </c>
    </row>
    <row r="7" spans="1:9">
      <c r="A7" s="7" t="s">
        <v>118</v>
      </c>
      <c r="B7" s="7">
        <v>94846.03383215853</v>
      </c>
    </row>
    <row r="8" spans="1:9" ht="15" thickBot="1">
      <c r="A8" s="8" t="s">
        <v>119</v>
      </c>
      <c r="B8" s="8">
        <v>320</v>
      </c>
    </row>
    <row r="10" spans="1:9" ht="15" thickBot="1">
      <c r="A10" t="s">
        <v>120</v>
      </c>
    </row>
    <row r="11" spans="1:9">
      <c r="A11" s="9"/>
      <c r="B11" s="9" t="s">
        <v>123</v>
      </c>
      <c r="C11" s="9" t="s">
        <v>124</v>
      </c>
      <c r="D11" s="9" t="s">
        <v>125</v>
      </c>
      <c r="E11" s="9" t="s">
        <v>126</v>
      </c>
      <c r="F11" s="9" t="s">
        <v>127</v>
      </c>
    </row>
    <row r="12" spans="1:9">
      <c r="A12" s="7" t="s">
        <v>121</v>
      </c>
      <c r="B12" s="7">
        <v>1</v>
      </c>
      <c r="C12" s="7">
        <v>574513714277.01416</v>
      </c>
      <c r="D12" s="7">
        <v>574513714277.01416</v>
      </c>
      <c r="E12" s="7">
        <v>63.864872683367629</v>
      </c>
      <c r="F12" s="7">
        <v>2.4800615101359619E-14</v>
      </c>
    </row>
    <row r="13" spans="1:9">
      <c r="A13" s="7" t="s">
        <v>13</v>
      </c>
      <c r="B13" s="7">
        <v>318</v>
      </c>
      <c r="C13" s="7">
        <v>2860654902513.7251</v>
      </c>
      <c r="D13" s="7">
        <v>8995770133.6909599</v>
      </c>
      <c r="E13" s="7"/>
      <c r="F13" s="7"/>
    </row>
    <row r="14" spans="1:9" ht="15" thickBot="1">
      <c r="A14" s="8" t="s">
        <v>122</v>
      </c>
      <c r="B14" s="8">
        <v>319</v>
      </c>
      <c r="C14" s="8">
        <v>3435168616790.7393</v>
      </c>
      <c r="D14" s="8"/>
      <c r="E14" s="8"/>
      <c r="F14" s="8"/>
    </row>
    <row r="15" spans="1:9" ht="15" thickBot="1"/>
    <row r="16" spans="1:9">
      <c r="A16" s="9"/>
      <c r="B16" s="9" t="s">
        <v>128</v>
      </c>
      <c r="C16" s="9" t="s">
        <v>118</v>
      </c>
      <c r="D16" s="9" t="s">
        <v>129</v>
      </c>
      <c r="E16" s="9" t="s">
        <v>130</v>
      </c>
      <c r="F16" s="9" t="s">
        <v>131</v>
      </c>
      <c r="G16" s="9" t="s">
        <v>132</v>
      </c>
      <c r="H16" s="9" t="s">
        <v>133</v>
      </c>
      <c r="I16" s="9" t="s">
        <v>134</v>
      </c>
    </row>
    <row r="17" spans="1:9">
      <c r="A17" s="7" t="s">
        <v>11</v>
      </c>
      <c r="B17" s="7">
        <v>560777.34544943704</v>
      </c>
      <c r="C17" s="7">
        <v>15906.905953068674</v>
      </c>
      <c r="D17" s="7">
        <v>35.253703460870398</v>
      </c>
      <c r="E17" s="7">
        <v>6.952876876284135E-112</v>
      </c>
      <c r="F17" s="7">
        <v>529481.27234763221</v>
      </c>
      <c r="G17" s="7">
        <v>592073.41855124186</v>
      </c>
      <c r="H17" s="7">
        <v>529481.27234763221</v>
      </c>
      <c r="I17" s="7">
        <v>592073.41855124186</v>
      </c>
    </row>
    <row r="18" spans="1:9" ht="15" thickBot="1">
      <c r="A18" s="8" t="s">
        <v>17</v>
      </c>
      <c r="B18" s="8">
        <v>2.1295753275898281</v>
      </c>
      <c r="C18" s="8">
        <v>0.26647838106932348</v>
      </c>
      <c r="D18" s="8">
        <v>7.991550080138869</v>
      </c>
      <c r="E18" s="8">
        <v>2.4800615101360068E-14</v>
      </c>
      <c r="F18" s="8">
        <v>1.6052919176921738</v>
      </c>
      <c r="G18" s="8">
        <v>2.6538587374874822</v>
      </c>
      <c r="H18" s="8">
        <v>1.6052919176921738</v>
      </c>
      <c r="I18" s="8">
        <v>2.6538587374874822</v>
      </c>
    </row>
    <row r="22" spans="1:9">
      <c r="A22" t="s">
        <v>135</v>
      </c>
    </row>
    <row r="23" spans="1:9" ht="15" thickBot="1"/>
    <row r="24" spans="1:9">
      <c r="A24" s="9" t="s">
        <v>136</v>
      </c>
      <c r="B24" s="9" t="s">
        <v>137</v>
      </c>
      <c r="C24" s="9" t="s">
        <v>138</v>
      </c>
    </row>
    <row r="25" spans="1:9">
      <c r="A25" s="7">
        <v>1</v>
      </c>
      <c r="B25" s="7">
        <v>710676.25743644347</v>
      </c>
      <c r="C25" s="7">
        <v>-51843.637436443474</v>
      </c>
    </row>
    <row r="26" spans="1:9">
      <c r="A26" s="7">
        <v>2</v>
      </c>
      <c r="B26" s="7">
        <v>654112.13865375798</v>
      </c>
      <c r="C26" s="7">
        <v>-19676.138653757982</v>
      </c>
    </row>
    <row r="27" spans="1:9">
      <c r="A27" s="7">
        <v>3</v>
      </c>
      <c r="B27" s="7">
        <v>688385.22583544278</v>
      </c>
      <c r="C27" s="7">
        <v>-9663.16583544272</v>
      </c>
    </row>
    <row r="28" spans="1:9">
      <c r="A28" s="7">
        <v>4</v>
      </c>
      <c r="B28" s="7">
        <v>681857.82190734067</v>
      </c>
      <c r="C28" s="7">
        <v>-22937.521907340619</v>
      </c>
    </row>
    <row r="29" spans="1:9">
      <c r="A29" s="7">
        <v>5</v>
      </c>
      <c r="B29" s="7">
        <v>663875.7091369254</v>
      </c>
      <c r="C29" s="7">
        <v>77465.730863074539</v>
      </c>
    </row>
    <row r="30" spans="1:9">
      <c r="A30" s="7">
        <v>6</v>
      </c>
      <c r="B30" s="7">
        <v>698797.69921668014</v>
      </c>
      <c r="C30" s="7">
        <v>63037.640783319832</v>
      </c>
    </row>
    <row r="31" spans="1:9">
      <c r="A31" s="7">
        <v>7</v>
      </c>
      <c r="B31" s="7">
        <v>659192.36837224313</v>
      </c>
      <c r="C31" s="7">
        <v>147423.17162775691</v>
      </c>
    </row>
    <row r="32" spans="1:9">
      <c r="A32" s="7">
        <v>8</v>
      </c>
      <c r="B32" s="7">
        <v>705904.752253199</v>
      </c>
      <c r="C32" s="7">
        <v>144259.50774680101</v>
      </c>
    </row>
    <row r="33" spans="1:3">
      <c r="A33" s="7">
        <v>9</v>
      </c>
      <c r="B33" s="7">
        <v>713763.60926761688</v>
      </c>
      <c r="C33" s="7">
        <v>216818.09073238308</v>
      </c>
    </row>
    <row r="34" spans="1:3">
      <c r="A34" s="7">
        <v>10</v>
      </c>
      <c r="B34" s="7">
        <v>705872.63825725892</v>
      </c>
      <c r="C34" s="7">
        <v>73138.301742741023</v>
      </c>
    </row>
    <row r="35" spans="1:3">
      <c r="A35" s="7">
        <v>11</v>
      </c>
      <c r="B35" s="7">
        <v>633790.28276667313</v>
      </c>
      <c r="C35" s="7">
        <v>89270.477233326877</v>
      </c>
    </row>
    <row r="36" spans="1:3">
      <c r="A36" s="7">
        <v>12</v>
      </c>
      <c r="B36" s="7">
        <v>705545.62066995422</v>
      </c>
      <c r="C36" s="7">
        <v>205246.31933004572</v>
      </c>
    </row>
    <row r="37" spans="1:3">
      <c r="A37" s="7">
        <v>13</v>
      </c>
      <c r="B37" s="7">
        <v>713741.03576914431</v>
      </c>
      <c r="C37" s="7">
        <v>208427.56423085567</v>
      </c>
    </row>
    <row r="38" spans="1:3">
      <c r="A38" s="7">
        <v>14</v>
      </c>
      <c r="B38" s="7">
        <v>679430.51065320056</v>
      </c>
      <c r="C38" s="7">
        <v>47175.769346799469</v>
      </c>
    </row>
    <row r="39" spans="1:3">
      <c r="A39" s="7">
        <v>15</v>
      </c>
      <c r="B39" s="7">
        <v>688359.15983343311</v>
      </c>
      <c r="C39" s="7">
        <v>58141.930166566861</v>
      </c>
    </row>
    <row r="40" spans="1:3">
      <c r="A40" s="7">
        <v>16</v>
      </c>
      <c r="B40" s="7">
        <v>721146.52749207162</v>
      </c>
      <c r="C40" s="7">
        <v>112870.4925079284</v>
      </c>
    </row>
    <row r="41" spans="1:3">
      <c r="A41" s="7">
        <v>17</v>
      </c>
      <c r="B41" s="7">
        <v>664709.60824370314</v>
      </c>
      <c r="C41" s="7">
        <v>1442.911756296875</v>
      </c>
    </row>
    <row r="42" spans="1:3">
      <c r="A42" s="7">
        <v>18</v>
      </c>
      <c r="B42" s="7">
        <v>686673.36670835968</v>
      </c>
      <c r="C42" s="7">
        <v>-113518.17670835974</v>
      </c>
    </row>
    <row r="43" spans="1:3">
      <c r="A43" s="7">
        <v>19</v>
      </c>
      <c r="B43" s="7">
        <v>728654.1536477101</v>
      </c>
      <c r="C43" s="7">
        <v>-62080.95364771015</v>
      </c>
    </row>
    <row r="44" spans="1:3">
      <c r="A44" s="7">
        <v>20</v>
      </c>
      <c r="B44" s="7">
        <v>649031.05710514181</v>
      </c>
      <c r="C44" s="7">
        <v>-57411.107105141855</v>
      </c>
    </row>
    <row r="45" spans="1:3">
      <c r="A45" s="7">
        <v>21</v>
      </c>
      <c r="B45" s="7">
        <v>625423.33037484554</v>
      </c>
      <c r="C45" s="7">
        <v>-209701.51037484553</v>
      </c>
    </row>
    <row r="46" spans="1:3">
      <c r="A46" s="7">
        <v>22</v>
      </c>
      <c r="B46" s="7">
        <v>632158.32530588121</v>
      </c>
      <c r="C46" s="7">
        <v>-140253.19530588121</v>
      </c>
    </row>
    <row r="47" spans="1:3">
      <c r="A47" s="7">
        <v>23</v>
      </c>
      <c r="B47" s="7">
        <v>650788.89376354753</v>
      </c>
      <c r="C47" s="7">
        <v>-94859.493763547507</v>
      </c>
    </row>
    <row r="48" spans="1:3">
      <c r="A48" s="7">
        <v>24</v>
      </c>
      <c r="B48" s="7">
        <v>692939.7059970526</v>
      </c>
      <c r="C48" s="7">
        <v>-127128.71599705261</v>
      </c>
    </row>
    <row r="49" spans="1:3">
      <c r="A49" s="7">
        <v>25</v>
      </c>
      <c r="B49" s="7">
        <v>683646.79295703582</v>
      </c>
      <c r="C49" s="7">
        <v>128124.34704296419</v>
      </c>
    </row>
    <row r="50" spans="1:3">
      <c r="A50" s="7">
        <v>26</v>
      </c>
      <c r="B50" s="7">
        <v>927949.18293500762</v>
      </c>
      <c r="C50" s="7">
        <v>-127497.24293500767</v>
      </c>
    </row>
    <row r="51" spans="1:3">
      <c r="A51" s="7">
        <v>27</v>
      </c>
      <c r="B51" s="7">
        <v>678480.08118449722</v>
      </c>
      <c r="C51" s="7">
        <v>105192.73881550273</v>
      </c>
    </row>
    <row r="52" spans="1:3">
      <c r="A52" s="7">
        <v>28</v>
      </c>
      <c r="B52" s="7">
        <v>673038.12180086761</v>
      </c>
      <c r="C52" s="7">
        <v>28603.848199132364</v>
      </c>
    </row>
    <row r="53" spans="1:3">
      <c r="A53" s="7">
        <v>29</v>
      </c>
      <c r="B53" s="7">
        <v>706867.53325880237</v>
      </c>
      <c r="C53" s="7">
        <v>-195023.1232588024</v>
      </c>
    </row>
    <row r="54" spans="1:3">
      <c r="A54" s="7">
        <v>30</v>
      </c>
      <c r="B54" s="7">
        <v>695316.95093524118</v>
      </c>
      <c r="C54" s="7">
        <v>-157933.16093524115</v>
      </c>
    </row>
    <row r="55" spans="1:3">
      <c r="A55" s="7">
        <v>31</v>
      </c>
      <c r="B55" s="7">
        <v>656544.51829717786</v>
      </c>
      <c r="C55" s="7">
        <v>-156371.49829717784</v>
      </c>
    </row>
    <row r="56" spans="1:3">
      <c r="A56" s="7">
        <v>32</v>
      </c>
      <c r="B56" s="7">
        <v>709456.52187181311</v>
      </c>
      <c r="C56" s="7">
        <v>-281539.1418718131</v>
      </c>
    </row>
    <row r="57" spans="1:3">
      <c r="A57" s="7">
        <v>33</v>
      </c>
      <c r="B57" s="7">
        <v>677047.53715738084</v>
      </c>
      <c r="C57" s="7">
        <v>-35182.507157380809</v>
      </c>
    </row>
    <row r="58" spans="1:3">
      <c r="A58" s="7">
        <v>34</v>
      </c>
      <c r="B58" s="7">
        <v>717880.18485461432</v>
      </c>
      <c r="C58" s="7">
        <v>81597.575145385694</v>
      </c>
    </row>
    <row r="59" spans="1:3">
      <c r="A59" s="7">
        <v>35</v>
      </c>
      <c r="B59" s="7">
        <v>719247.30832766718</v>
      </c>
      <c r="C59" s="7">
        <v>79704.86167233286</v>
      </c>
    </row>
    <row r="60" spans="1:3">
      <c r="A60" s="7">
        <v>36</v>
      </c>
      <c r="B60" s="7">
        <v>672545.48714033619</v>
      </c>
      <c r="C60" s="7">
        <v>128434.29285966384</v>
      </c>
    </row>
    <row r="61" spans="1:3">
      <c r="A61" s="7">
        <v>37</v>
      </c>
      <c r="B61" s="7">
        <v>721070.20351233077</v>
      </c>
      <c r="C61" s="7">
        <v>99523.726487669279</v>
      </c>
    </row>
    <row r="62" spans="1:3">
      <c r="A62" s="7">
        <v>38</v>
      </c>
      <c r="B62" s="7">
        <v>691204.05951356038</v>
      </c>
      <c r="C62" s="7">
        <v>27126.470486439648</v>
      </c>
    </row>
    <row r="63" spans="1:3">
      <c r="A63" s="7">
        <v>39</v>
      </c>
      <c r="B63" s="7">
        <v>759639.77280468796</v>
      </c>
      <c r="C63" s="7">
        <v>-23006.372804687941</v>
      </c>
    </row>
    <row r="64" spans="1:3">
      <c r="A64" s="7">
        <v>40</v>
      </c>
      <c r="B64" s="7">
        <v>699225.70126601914</v>
      </c>
      <c r="C64" s="7">
        <v>129398.14873398084</v>
      </c>
    </row>
    <row r="65" spans="1:3">
      <c r="A65" s="7">
        <v>41</v>
      </c>
      <c r="B65" s="7">
        <v>646946.22415518458</v>
      </c>
      <c r="C65" s="7">
        <v>-54750.374155184603</v>
      </c>
    </row>
    <row r="66" spans="1:3">
      <c r="A66" s="7">
        <v>42</v>
      </c>
      <c r="B66" s="7">
        <v>659001.622310151</v>
      </c>
      <c r="C66" s="7">
        <v>-126357.16231015103</v>
      </c>
    </row>
    <row r="67" spans="1:3">
      <c r="A67" s="7">
        <v>43</v>
      </c>
      <c r="B67" s="7">
        <v>705753.59499644663</v>
      </c>
      <c r="C67" s="7">
        <v>-48324.414996446576</v>
      </c>
    </row>
    <row r="68" spans="1:3">
      <c r="A68" s="7">
        <v>44</v>
      </c>
      <c r="B68" s="7">
        <v>698948.74999466608</v>
      </c>
      <c r="C68" s="7">
        <v>-93770.749994666083</v>
      </c>
    </row>
    <row r="69" spans="1:3">
      <c r="A69" s="7">
        <v>45</v>
      </c>
      <c r="B69" s="7">
        <v>856480.61364533973</v>
      </c>
      <c r="C69" s="7">
        <v>-261013.01364533976</v>
      </c>
    </row>
    <row r="70" spans="1:3">
      <c r="A70" s="7">
        <v>46</v>
      </c>
      <c r="B70" s="7">
        <v>696282.67075479659</v>
      </c>
      <c r="C70" s="7">
        <v>-96679.270754796569</v>
      </c>
    </row>
    <row r="71" spans="1:3">
      <c r="A71" s="7">
        <v>47</v>
      </c>
      <c r="B71" s="7">
        <v>667349.06779197778</v>
      </c>
      <c r="C71" s="7">
        <v>-52548.977791977813</v>
      </c>
    </row>
    <row r="72" spans="1:3">
      <c r="A72" s="7">
        <v>48</v>
      </c>
      <c r="B72" s="7">
        <v>650419.3485569508</v>
      </c>
      <c r="C72" s="7">
        <v>-65053.618556950823</v>
      </c>
    </row>
    <row r="73" spans="1:3">
      <c r="A73" s="7">
        <v>49</v>
      </c>
      <c r="B73" s="7">
        <v>660066.77200175158</v>
      </c>
      <c r="C73" s="7">
        <v>-37255.032001751591</v>
      </c>
    </row>
    <row r="74" spans="1:3">
      <c r="A74" s="7">
        <v>50</v>
      </c>
      <c r="B74" s="7">
        <v>666639.15256077237</v>
      </c>
      <c r="C74" s="7">
        <v>-63341.582560772425</v>
      </c>
    </row>
    <row r="75" spans="1:3">
      <c r="A75" s="7">
        <v>51</v>
      </c>
      <c r="B75" s="7">
        <v>663609.95943179552</v>
      </c>
      <c r="C75" s="7">
        <v>-37937.099431795534</v>
      </c>
    </row>
    <row r="76" spans="1:3">
      <c r="A76" s="7">
        <v>52</v>
      </c>
      <c r="B76" s="7">
        <v>699865.21273689438</v>
      </c>
      <c r="C76" s="7">
        <v>73949.927263105637</v>
      </c>
    </row>
    <row r="77" spans="1:3">
      <c r="A77" s="7">
        <v>53</v>
      </c>
      <c r="B77" s="7">
        <v>673677.76104626246</v>
      </c>
      <c r="C77" s="7">
        <v>-210143.51104626246</v>
      </c>
    </row>
    <row r="78" spans="1:3">
      <c r="A78" s="7">
        <v>54</v>
      </c>
      <c r="B78" s="7">
        <v>773466.57301289681</v>
      </c>
      <c r="C78" s="7">
        <v>-26788.823012896813</v>
      </c>
    </row>
    <row r="79" spans="1:3">
      <c r="A79" s="7">
        <v>55</v>
      </c>
      <c r="B79" s="7">
        <v>733689.27896075696</v>
      </c>
      <c r="C79" s="7">
        <v>-12836.778960756958</v>
      </c>
    </row>
    <row r="80" spans="1:3">
      <c r="A80" s="7">
        <v>56</v>
      </c>
      <c r="B80" s="7">
        <v>619997.85390425147</v>
      </c>
      <c r="C80" s="7">
        <v>-132532.9439042515</v>
      </c>
    </row>
    <row r="81" spans="1:3">
      <c r="A81" s="7">
        <v>57</v>
      </c>
      <c r="B81" s="7">
        <v>602016.69944273378</v>
      </c>
      <c r="C81" s="7">
        <v>-83967.439442733768</v>
      </c>
    </row>
    <row r="82" spans="1:3">
      <c r="A82" s="7">
        <v>58</v>
      </c>
      <c r="B82" s="7">
        <v>687286.21589613357</v>
      </c>
      <c r="C82" s="7">
        <v>-186987.73589613358</v>
      </c>
    </row>
    <row r="83" spans="1:3">
      <c r="A83" s="7">
        <v>59</v>
      </c>
      <c r="B83" s="7">
        <v>814006.16984930076</v>
      </c>
      <c r="C83" s="7">
        <v>-196715.01984930073</v>
      </c>
    </row>
    <row r="84" spans="1:3">
      <c r="A84" s="7">
        <v>60</v>
      </c>
      <c r="B84" s="7">
        <v>673542.87374501291</v>
      </c>
      <c r="C84" s="7">
        <v>-119786.44374501286</v>
      </c>
    </row>
    <row r="85" spans="1:3">
      <c r="A85" s="7">
        <v>61</v>
      </c>
      <c r="B85" s="7">
        <v>720299.53149702935</v>
      </c>
      <c r="C85" s="7">
        <v>29260.178502970608</v>
      </c>
    </row>
    <row r="86" spans="1:3">
      <c r="A86" s="7">
        <v>62</v>
      </c>
      <c r="B86" s="7">
        <v>640177.83748301235</v>
      </c>
      <c r="C86" s="7">
        <v>-24211.357483012369</v>
      </c>
    </row>
    <row r="87" spans="1:3">
      <c r="A87" s="7">
        <v>63</v>
      </c>
      <c r="B87" s="7">
        <v>667986.96078560397</v>
      </c>
      <c r="C87" s="7">
        <v>-95975.760785604012</v>
      </c>
    </row>
    <row r="88" spans="1:3">
      <c r="A88" s="7">
        <v>64</v>
      </c>
      <c r="B88" s="7">
        <v>720398.53545400896</v>
      </c>
      <c r="C88" s="7">
        <v>41461.654545990983</v>
      </c>
    </row>
    <row r="89" spans="1:3">
      <c r="A89" s="7">
        <v>65</v>
      </c>
      <c r="B89" s="7">
        <v>709933.46156218019</v>
      </c>
      <c r="C89" s="7">
        <v>74569.218437819858</v>
      </c>
    </row>
    <row r="90" spans="1:3">
      <c r="A90" s="7">
        <v>66</v>
      </c>
      <c r="B90" s="7">
        <v>669702.33371197758</v>
      </c>
      <c r="C90" s="7">
        <v>47439.216288022464</v>
      </c>
    </row>
    <row r="91" spans="1:3">
      <c r="A91" s="7">
        <v>67</v>
      </c>
      <c r="B91" s="7">
        <v>729750.84234991227</v>
      </c>
      <c r="C91" s="7">
        <v>-44371.762349912315</v>
      </c>
    </row>
    <row r="92" spans="1:3">
      <c r="A92" s="7">
        <v>68</v>
      </c>
      <c r="B92" s="7">
        <v>650258.69339423743</v>
      </c>
      <c r="C92" s="7">
        <v>90237.956605762593</v>
      </c>
    </row>
    <row r="93" spans="1:3">
      <c r="A93" s="7">
        <v>69</v>
      </c>
      <c r="B93" s="7">
        <v>711843.54156075534</v>
      </c>
      <c r="C93" s="7">
        <v>-49916.40156075533</v>
      </c>
    </row>
    <row r="94" spans="1:3">
      <c r="A94" s="7">
        <v>70</v>
      </c>
      <c r="B94" s="7">
        <v>639174.36029289884</v>
      </c>
      <c r="C94" s="7">
        <v>-160123.86029289884</v>
      </c>
    </row>
    <row r="95" spans="1:3">
      <c r="A95" s="7">
        <v>71</v>
      </c>
      <c r="B95" s="7">
        <v>689769.5988686491</v>
      </c>
      <c r="C95" s="7">
        <v>-84745.728868649108</v>
      </c>
    </row>
    <row r="96" spans="1:3">
      <c r="A96" s="7">
        <v>72</v>
      </c>
      <c r="B96" s="7">
        <v>678076.82480046479</v>
      </c>
      <c r="C96" s="7">
        <v>-3302.7348004648229</v>
      </c>
    </row>
    <row r="97" spans="1:3">
      <c r="A97" s="7">
        <v>73</v>
      </c>
      <c r="B97" s="7">
        <v>659166.83476406534</v>
      </c>
      <c r="C97" s="7">
        <v>-43097.424764065305</v>
      </c>
    </row>
    <row r="98" spans="1:3">
      <c r="A98" s="7">
        <v>74</v>
      </c>
      <c r="B98" s="7">
        <v>675269.53342062281</v>
      </c>
      <c r="C98" s="7">
        <v>-44439.59342062287</v>
      </c>
    </row>
    <row r="99" spans="1:3">
      <c r="A99" s="7">
        <v>75</v>
      </c>
      <c r="B99" s="7">
        <v>710155.93829665345</v>
      </c>
      <c r="C99" s="7">
        <v>77931.741703346604</v>
      </c>
    </row>
    <row r="100" spans="1:3">
      <c r="A100" s="7">
        <v>76</v>
      </c>
      <c r="B100" s="7">
        <v>685889.10800246825</v>
      </c>
      <c r="C100" s="7">
        <v>-5048.7480024682591</v>
      </c>
    </row>
    <row r="101" spans="1:3">
      <c r="A101" s="7">
        <v>77</v>
      </c>
      <c r="B101" s="7">
        <v>682106.02391177125</v>
      </c>
      <c r="C101" s="7">
        <v>-38448.553911771276</v>
      </c>
    </row>
    <row r="102" spans="1:3">
      <c r="A102" s="7">
        <v>78</v>
      </c>
      <c r="B102" s="7">
        <v>677633.14907671465</v>
      </c>
      <c r="C102" s="7">
        <v>13479.450923285331</v>
      </c>
    </row>
    <row r="103" spans="1:3">
      <c r="A103" s="7">
        <v>79</v>
      </c>
      <c r="B103" s="7">
        <v>732341.91794674413</v>
      </c>
      <c r="C103" s="7">
        <v>44580.252053255914</v>
      </c>
    </row>
    <row r="104" spans="1:3">
      <c r="A104" s="7">
        <v>80</v>
      </c>
      <c r="B104" s="7">
        <v>726884.00804391084</v>
      </c>
      <c r="C104" s="7">
        <v>-90322.668043910875</v>
      </c>
    </row>
    <row r="105" spans="1:3">
      <c r="A105" s="7">
        <v>81</v>
      </c>
      <c r="B105" s="7">
        <v>690428.04226418666</v>
      </c>
      <c r="C105" s="7">
        <v>-69058.462264186703</v>
      </c>
    </row>
    <row r="106" spans="1:3">
      <c r="A106" s="7">
        <v>82</v>
      </c>
      <c r="B106" s="7">
        <v>689890.04764917761</v>
      </c>
      <c r="C106" s="7">
        <v>-7682.0376491775969</v>
      </c>
    </row>
    <row r="107" spans="1:3">
      <c r="A107" s="7">
        <v>83</v>
      </c>
      <c r="B107" s="7">
        <v>715663.78674091864</v>
      </c>
      <c r="C107" s="7">
        <v>11578.073259081342</v>
      </c>
    </row>
    <row r="108" spans="1:3">
      <c r="A108" s="7">
        <v>84</v>
      </c>
      <c r="B108" s="7">
        <v>638455.11752175866</v>
      </c>
      <c r="C108" s="7">
        <v>-69354.337521758629</v>
      </c>
    </row>
    <row r="109" spans="1:3">
      <c r="A109" s="7">
        <v>85</v>
      </c>
      <c r="B109" s="7">
        <v>678730.49794726842</v>
      </c>
      <c r="C109" s="7">
        <v>-104294.20794726838</v>
      </c>
    </row>
    <row r="110" spans="1:3">
      <c r="A110" s="7">
        <v>86</v>
      </c>
      <c r="B110" s="7">
        <v>749125.01592046651</v>
      </c>
      <c r="C110" s="7">
        <v>-137358.29592046654</v>
      </c>
    </row>
    <row r="111" spans="1:3">
      <c r="A111" s="7">
        <v>87</v>
      </c>
      <c r="B111" s="7">
        <v>727378.09081566497</v>
      </c>
      <c r="C111" s="7">
        <v>-112781.77081566502</v>
      </c>
    </row>
    <row r="112" spans="1:3">
      <c r="A112" s="7">
        <v>88</v>
      </c>
      <c r="B112" s="7">
        <v>601231.43983643828</v>
      </c>
      <c r="C112" s="7">
        <v>-150519.5198364383</v>
      </c>
    </row>
    <row r="113" spans="1:3">
      <c r="A113" s="7">
        <v>89</v>
      </c>
      <c r="B113" s="7">
        <v>668359.10407410027</v>
      </c>
      <c r="C113" s="7">
        <v>42854.355925899697</v>
      </c>
    </row>
    <row r="114" spans="1:3">
      <c r="A114" s="7">
        <v>90</v>
      </c>
      <c r="B114" s="7">
        <v>862198.05489334627</v>
      </c>
      <c r="C114" s="7">
        <v>-235026.15489334625</v>
      </c>
    </row>
    <row r="115" spans="1:3">
      <c r="A115" s="7">
        <v>91</v>
      </c>
      <c r="B115" s="7">
        <v>735649.95766911563</v>
      </c>
      <c r="C115" s="7">
        <v>4202.6223308843328</v>
      </c>
    </row>
    <row r="116" spans="1:3">
      <c r="A116" s="7">
        <v>92</v>
      </c>
      <c r="B116" s="7">
        <v>627236.08878094982</v>
      </c>
      <c r="C116" s="7">
        <v>-40928.868780949851</v>
      </c>
    </row>
    <row r="117" spans="1:3">
      <c r="A117" s="7">
        <v>93</v>
      </c>
      <c r="B117" s="7">
        <v>643759.63411374553</v>
      </c>
      <c r="C117" s="7">
        <v>-57822.15411374555</v>
      </c>
    </row>
    <row r="118" spans="1:3">
      <c r="A118" s="7">
        <v>94</v>
      </c>
      <c r="B118" s="7">
        <v>704394.41483936575</v>
      </c>
      <c r="C118" s="7">
        <v>49079.135160634294</v>
      </c>
    </row>
    <row r="119" spans="1:3">
      <c r="A119" s="7">
        <v>95</v>
      </c>
      <c r="B119" s="7">
        <v>744819.24886136584</v>
      </c>
      <c r="C119" s="7">
        <v>93431.071138634114</v>
      </c>
    </row>
    <row r="120" spans="1:3">
      <c r="A120" s="7">
        <v>96</v>
      </c>
      <c r="B120" s="7">
        <v>581082.10084664135</v>
      </c>
      <c r="C120" s="7">
        <v>26816.019153358648</v>
      </c>
    </row>
    <row r="121" spans="1:3">
      <c r="A121" s="7">
        <v>97</v>
      </c>
      <c r="B121" s="7">
        <v>690962.69344593131</v>
      </c>
      <c r="C121" s="7">
        <v>150.92655406869017</v>
      </c>
    </row>
    <row r="122" spans="1:3">
      <c r="A122" s="7">
        <v>98</v>
      </c>
      <c r="B122" s="7">
        <v>728671.76523566921</v>
      </c>
      <c r="C122" s="7">
        <v>6837.6347643308109</v>
      </c>
    </row>
    <row r="123" spans="1:3">
      <c r="A123" s="7">
        <v>99</v>
      </c>
      <c r="B123" s="7">
        <v>643304.35220446019</v>
      </c>
      <c r="C123" s="7">
        <v>-37529.022204460227</v>
      </c>
    </row>
    <row r="124" spans="1:3">
      <c r="A124" s="7">
        <v>100</v>
      </c>
      <c r="B124" s="7">
        <v>678119.2885324969</v>
      </c>
      <c r="C124" s="7">
        <v>-2941.6085324968444</v>
      </c>
    </row>
    <row r="125" spans="1:3">
      <c r="A125" s="7">
        <v>101</v>
      </c>
      <c r="B125" s="7">
        <v>673825.3406164645</v>
      </c>
      <c r="C125" s="7">
        <v>-38643.990616464522</v>
      </c>
    </row>
    <row r="126" spans="1:3">
      <c r="A126" s="7">
        <v>102</v>
      </c>
      <c r="B126" s="7">
        <v>695156.93464512611</v>
      </c>
      <c r="C126" s="7">
        <v>-108529.99464512616</v>
      </c>
    </row>
    <row r="127" spans="1:3">
      <c r="A127" s="7">
        <v>103</v>
      </c>
      <c r="B127" s="7">
        <v>752618.8610901701</v>
      </c>
      <c r="C127" s="7">
        <v>-12516.221090170089</v>
      </c>
    </row>
    <row r="128" spans="1:3">
      <c r="A128" s="7">
        <v>104</v>
      </c>
      <c r="B128" s="7">
        <v>629491.58589766012</v>
      </c>
      <c r="C128" s="7">
        <v>-3977.5458976600785</v>
      </c>
    </row>
    <row r="129" spans="1:3">
      <c r="A129" s="7">
        <v>105</v>
      </c>
      <c r="B129" s="7">
        <v>684120.36791838519</v>
      </c>
      <c r="C129" s="7">
        <v>43106.832081614761</v>
      </c>
    </row>
    <row r="130" spans="1:3">
      <c r="A130" s="7">
        <v>106</v>
      </c>
      <c r="B130" s="7">
        <v>719812.6466898825</v>
      </c>
      <c r="C130" s="7">
        <v>63985.243310117512</v>
      </c>
    </row>
    <row r="131" spans="1:3">
      <c r="A131" s="7">
        <v>107</v>
      </c>
      <c r="B131" s="7">
        <v>697696.75136382284</v>
      </c>
      <c r="C131" s="7">
        <v>97457.088636177126</v>
      </c>
    </row>
    <row r="132" spans="1:3">
      <c r="A132" s="7">
        <v>108</v>
      </c>
      <c r="B132" s="7">
        <v>626883.68665574025</v>
      </c>
      <c r="C132" s="7">
        <v>38711.25334425969</v>
      </c>
    </row>
    <row r="133" spans="1:3">
      <c r="A133" s="7">
        <v>109</v>
      </c>
      <c r="B133" s="7">
        <v>721059.87507199205</v>
      </c>
      <c r="C133" s="7">
        <v>-11581.485071992036</v>
      </c>
    </row>
    <row r="134" spans="1:3">
      <c r="A134" s="7">
        <v>110</v>
      </c>
      <c r="B134" s="7">
        <v>708594.78921550396</v>
      </c>
      <c r="C134" s="7">
        <v>-44432.299215503968</v>
      </c>
    </row>
    <row r="135" spans="1:3">
      <c r="A135" s="7">
        <v>111</v>
      </c>
      <c r="B135" s="7">
        <v>669505.26281116251</v>
      </c>
      <c r="C135" s="7">
        <v>-36011.052811162546</v>
      </c>
    </row>
    <row r="136" spans="1:3">
      <c r="A136" s="7">
        <v>112</v>
      </c>
      <c r="B136" s="7">
        <v>673129.50187817449</v>
      </c>
      <c r="C136" s="7">
        <v>40481.658121825545</v>
      </c>
    </row>
    <row r="137" spans="1:3">
      <c r="A137" s="7">
        <v>113</v>
      </c>
      <c r="B137" s="7">
        <v>691588.72470498295</v>
      </c>
      <c r="C137" s="7">
        <v>86809.245295017026</v>
      </c>
    </row>
    <row r="138" spans="1:3">
      <c r="A138" s="7">
        <v>114</v>
      </c>
      <c r="B138" s="7">
        <v>731518.90096989041</v>
      </c>
      <c r="C138" s="7">
        <v>141861.11903010961</v>
      </c>
    </row>
    <row r="139" spans="1:3">
      <c r="A139" s="7">
        <v>115</v>
      </c>
      <c r="B139" s="7">
        <v>632342.10765665222</v>
      </c>
      <c r="C139" s="7">
        <v>64945.792343347799</v>
      </c>
    </row>
    <row r="140" spans="1:3">
      <c r="A140" s="7">
        <v>116</v>
      </c>
      <c r="B140" s="7">
        <v>616126.15818417352</v>
      </c>
      <c r="C140" s="7">
        <v>101948.63181582652</v>
      </c>
    </row>
    <row r="141" spans="1:3">
      <c r="A141" s="7">
        <v>117</v>
      </c>
      <c r="B141" s="7">
        <v>653808.1417757445</v>
      </c>
      <c r="C141" s="7">
        <v>61134.28822425555</v>
      </c>
    </row>
    <row r="142" spans="1:3">
      <c r="A142" s="7">
        <v>118</v>
      </c>
      <c r="B142" s="7">
        <v>682929.80753574288</v>
      </c>
      <c r="C142" s="7">
        <v>137589.23246425716</v>
      </c>
    </row>
    <row r="143" spans="1:3">
      <c r="A143" s="7">
        <v>119</v>
      </c>
      <c r="B143" s="7">
        <v>651104.2838695636</v>
      </c>
      <c r="C143" s="7">
        <v>33113.036130436347</v>
      </c>
    </row>
    <row r="144" spans="1:3">
      <c r="A144" s="7">
        <v>120</v>
      </c>
      <c r="B144" s="7">
        <v>677837.92904021579</v>
      </c>
      <c r="C144" s="7">
        <v>57642.260959784151</v>
      </c>
    </row>
    <row r="145" spans="1:3">
      <c r="A145" s="7">
        <v>121</v>
      </c>
      <c r="B145" s="7">
        <v>654257.46087411267</v>
      </c>
      <c r="C145" s="7">
        <v>-144772.65087411267</v>
      </c>
    </row>
    <row r="146" spans="1:3">
      <c r="A146" s="7">
        <v>122</v>
      </c>
      <c r="B146" s="7">
        <v>737626.1609816124</v>
      </c>
      <c r="C146" s="7">
        <v>-83309.070981612429</v>
      </c>
    </row>
    <row r="147" spans="1:3">
      <c r="A147" s="7">
        <v>123</v>
      </c>
      <c r="B147" s="7">
        <v>663840.54984826688</v>
      </c>
      <c r="C147" s="7">
        <v>-106353.28984826687</v>
      </c>
    </row>
    <row r="148" spans="1:3">
      <c r="A148" s="7">
        <v>124</v>
      </c>
      <c r="B148" s="7">
        <v>601374.46211543912</v>
      </c>
      <c r="C148" s="7">
        <v>-160099.04211543914</v>
      </c>
    </row>
    <row r="149" spans="1:3">
      <c r="A149" s="7">
        <v>125</v>
      </c>
      <c r="B149" s="7">
        <v>691833.9878954615</v>
      </c>
      <c r="C149" s="7">
        <v>222710.18210453854</v>
      </c>
    </row>
    <row r="150" spans="1:3">
      <c r="A150" s="7">
        <v>126</v>
      </c>
      <c r="B150" s="7">
        <v>656069.45263309905</v>
      </c>
      <c r="C150" s="7">
        <v>186370.21736690099</v>
      </c>
    </row>
    <row r="151" spans="1:3">
      <c r="A151" s="7">
        <v>127</v>
      </c>
      <c r="B151" s="7">
        <v>681136.47085662617</v>
      </c>
      <c r="C151" s="7">
        <v>161021.44914337387</v>
      </c>
    </row>
    <row r="152" spans="1:3">
      <c r="A152" s="7">
        <v>128</v>
      </c>
      <c r="B152" s="7">
        <v>641335.98572916887</v>
      </c>
      <c r="C152" s="7">
        <v>55819.314270831179</v>
      </c>
    </row>
    <row r="153" spans="1:3">
      <c r="A153" s="7">
        <v>129</v>
      </c>
      <c r="B153" s="7">
        <v>701862.83957718674</v>
      </c>
      <c r="C153" s="7">
        <v>147155.46042281331</v>
      </c>
    </row>
    <row r="154" spans="1:3">
      <c r="A154" s="7">
        <v>130</v>
      </c>
      <c r="B154" s="7">
        <v>706463.57411491184</v>
      </c>
      <c r="C154" s="7">
        <v>95366.775885088136</v>
      </c>
    </row>
    <row r="155" spans="1:3">
      <c r="A155" s="7">
        <v>131</v>
      </c>
      <c r="B155" s="7">
        <v>668822.69132716337</v>
      </c>
      <c r="C155" s="7">
        <v>56412.58867283666</v>
      </c>
    </row>
    <row r="156" spans="1:3">
      <c r="A156" s="7">
        <v>132</v>
      </c>
      <c r="B156" s="7">
        <v>702299.9775046811</v>
      </c>
      <c r="C156" s="7">
        <v>109152.74249531887</v>
      </c>
    </row>
    <row r="157" spans="1:3">
      <c r="A157" s="7">
        <v>133</v>
      </c>
      <c r="B157" s="7">
        <v>710435.97745223157</v>
      </c>
      <c r="C157" s="7">
        <v>-183135.84745223157</v>
      </c>
    </row>
    <row r="158" spans="1:3">
      <c r="A158" s="7">
        <v>134</v>
      </c>
      <c r="B158" s="7">
        <v>607780.56543288182</v>
      </c>
      <c r="C158" s="7">
        <v>-206948.9154328818</v>
      </c>
    </row>
    <row r="159" spans="1:3">
      <c r="A159" s="7">
        <v>135</v>
      </c>
      <c r="B159" s="7">
        <v>672123.14976136864</v>
      </c>
      <c r="C159" s="7">
        <v>-78875.899761368637</v>
      </c>
    </row>
    <row r="160" spans="1:3">
      <c r="A160" s="7">
        <v>136</v>
      </c>
      <c r="B160" s="7">
        <v>710628.66142787179</v>
      </c>
      <c r="C160" s="7">
        <v>-181552.71142787184</v>
      </c>
    </row>
    <row r="161" spans="1:3">
      <c r="A161" s="7">
        <v>137</v>
      </c>
      <c r="B161" s="7">
        <v>712660.06333285978</v>
      </c>
      <c r="C161" s="7">
        <v>-79022.033332859748</v>
      </c>
    </row>
    <row r="162" spans="1:3">
      <c r="A162" s="7">
        <v>138</v>
      </c>
      <c r="B162" s="7">
        <v>720729.04554485087</v>
      </c>
      <c r="C162" s="7">
        <v>22619.794455149095</v>
      </c>
    </row>
    <row r="163" spans="1:3">
      <c r="A163" s="7">
        <v>139</v>
      </c>
      <c r="B163" s="7">
        <v>709376.9822333277</v>
      </c>
      <c r="C163" s="7">
        <v>49450.657766672317</v>
      </c>
    </row>
    <row r="164" spans="1:3">
      <c r="A164" s="7">
        <v>140</v>
      </c>
      <c r="B164" s="7">
        <v>654930.02335407212</v>
      </c>
      <c r="C164" s="7">
        <v>-8370.313354072161</v>
      </c>
    </row>
    <row r="165" spans="1:3">
      <c r="A165" s="7">
        <v>141</v>
      </c>
      <c r="B165" s="7">
        <v>670302.0647157334</v>
      </c>
      <c r="C165" s="7">
        <v>45588.465284266626</v>
      </c>
    </row>
    <row r="166" spans="1:3">
      <c r="A166" s="7">
        <v>142</v>
      </c>
      <c r="B166" s="7">
        <v>658112.75886416819</v>
      </c>
      <c r="C166" s="7">
        <v>56984.811135831755</v>
      </c>
    </row>
    <row r="167" spans="1:3">
      <c r="A167" s="7">
        <v>143</v>
      </c>
      <c r="B167" s="7">
        <v>654552.3431697241</v>
      </c>
      <c r="C167" s="7">
        <v>28086.936830275925</v>
      </c>
    </row>
    <row r="168" spans="1:3">
      <c r="A168" s="7">
        <v>144</v>
      </c>
      <c r="B168" s="7">
        <v>667678.02329283056</v>
      </c>
      <c r="C168" s="7">
        <v>27420.486707169446</v>
      </c>
    </row>
    <row r="169" spans="1:3">
      <c r="A169" s="7">
        <v>145</v>
      </c>
      <c r="B169" s="7">
        <v>710887.27705565433</v>
      </c>
      <c r="C169" s="7">
        <v>-133154.70705565438</v>
      </c>
    </row>
    <row r="170" spans="1:3">
      <c r="A170" s="7">
        <v>146</v>
      </c>
      <c r="B170" s="7">
        <v>669192.47078704601</v>
      </c>
      <c r="C170" s="7">
        <v>-132134.14078704605</v>
      </c>
    </row>
    <row r="171" spans="1:3">
      <c r="A171" s="7">
        <v>147</v>
      </c>
      <c r="B171" s="7">
        <v>674393.80945441127</v>
      </c>
      <c r="C171" s="7">
        <v>-72824.939454411273</v>
      </c>
    </row>
    <row r="172" spans="1:3">
      <c r="A172" s="7">
        <v>148</v>
      </c>
      <c r="B172" s="7">
        <v>689238.44019044167</v>
      </c>
      <c r="C172" s="7">
        <v>-118273.60019044171</v>
      </c>
    </row>
    <row r="173" spans="1:3">
      <c r="A173" s="7">
        <v>149</v>
      </c>
      <c r="B173" s="7">
        <v>670611.64108110522</v>
      </c>
      <c r="C173" s="7">
        <v>-56586.731081105187</v>
      </c>
    </row>
    <row r="174" spans="1:3">
      <c r="A174" s="7">
        <v>150</v>
      </c>
      <c r="B174" s="7">
        <v>653030.42086610873</v>
      </c>
      <c r="C174" s="7">
        <v>59837.929133891244</v>
      </c>
    </row>
    <row r="175" spans="1:3">
      <c r="A175" s="7">
        <v>151</v>
      </c>
      <c r="B175" s="7">
        <v>661066.60761805496</v>
      </c>
      <c r="C175" s="7">
        <v>35677.542381945066</v>
      </c>
    </row>
    <row r="176" spans="1:3">
      <c r="A176" s="7">
        <v>152</v>
      </c>
      <c r="B176" s="7">
        <v>713798.17227518361</v>
      </c>
      <c r="C176" s="7">
        <v>12049.817724816385</v>
      </c>
    </row>
    <row r="177" spans="1:3">
      <c r="A177" s="7">
        <v>153</v>
      </c>
      <c r="B177" s="7">
        <v>721869.56090729497</v>
      </c>
      <c r="C177" s="7">
        <v>63158.689092705026</v>
      </c>
    </row>
    <row r="178" spans="1:3">
      <c r="A178" s="7">
        <v>154</v>
      </c>
      <c r="B178" s="7">
        <v>697868.22476920031</v>
      </c>
      <c r="C178" s="7">
        <v>624.44523079972714</v>
      </c>
    </row>
    <row r="179" spans="1:3">
      <c r="A179" s="7">
        <v>155</v>
      </c>
      <c r="B179" s="7">
        <v>691605.33539253811</v>
      </c>
      <c r="C179" s="7">
        <v>-5775.0953925381182</v>
      </c>
    </row>
    <row r="180" spans="1:3">
      <c r="A180" s="7">
        <v>156</v>
      </c>
      <c r="B180" s="7">
        <v>651706.25092741335</v>
      </c>
      <c r="C180" s="7">
        <v>50612.689072586596</v>
      </c>
    </row>
    <row r="181" spans="1:3">
      <c r="A181" s="7">
        <v>157</v>
      </c>
      <c r="B181" s="7">
        <v>745801.89880477567</v>
      </c>
      <c r="C181" s="7">
        <v>-45723.578804775723</v>
      </c>
    </row>
    <row r="182" spans="1:3">
      <c r="A182" s="7">
        <v>158</v>
      </c>
      <c r="B182" s="7">
        <v>649927.92775435618</v>
      </c>
      <c r="C182" s="7">
        <v>-47925.607754356228</v>
      </c>
    </row>
    <row r="183" spans="1:3">
      <c r="A183" s="7">
        <v>159</v>
      </c>
      <c r="B183" s="7">
        <v>681988.85467724735</v>
      </c>
      <c r="C183" s="7">
        <v>42227.2153227526</v>
      </c>
    </row>
    <row r="184" spans="1:3">
      <c r="A184" s="7">
        <v>160</v>
      </c>
      <c r="B184" s="7">
        <v>610299.70397514757</v>
      </c>
      <c r="C184" s="7">
        <v>10673.32602485246</v>
      </c>
    </row>
    <row r="185" spans="1:3">
      <c r="A185" s="7">
        <v>161</v>
      </c>
      <c r="B185" s="7">
        <v>649034.20887662657</v>
      </c>
      <c r="C185" s="7">
        <v>1445.8511233734898</v>
      </c>
    </row>
    <row r="186" spans="1:3">
      <c r="A186" s="7">
        <v>162</v>
      </c>
      <c r="B186" s="7">
        <v>663931.52530626161</v>
      </c>
      <c r="C186" s="7">
        <v>114367.35469373839</v>
      </c>
    </row>
    <row r="187" spans="1:3">
      <c r="A187" s="7">
        <v>163</v>
      </c>
      <c r="B187" s="7">
        <v>682468.30726650089</v>
      </c>
      <c r="C187" s="7">
        <v>-5371.5972665009322</v>
      </c>
    </row>
    <row r="188" spans="1:3">
      <c r="A188" s="7">
        <v>164</v>
      </c>
      <c r="B188" s="7">
        <v>703183.36794207199</v>
      </c>
      <c r="C188" s="7">
        <v>-11174.727942071971</v>
      </c>
    </row>
    <row r="189" spans="1:3">
      <c r="A189" s="7">
        <v>165</v>
      </c>
      <c r="B189" s="7">
        <v>714427.33400996681</v>
      </c>
      <c r="C189" s="7">
        <v>111370.57599003322</v>
      </c>
    </row>
    <row r="190" spans="1:3">
      <c r="A190" s="7">
        <v>166</v>
      </c>
      <c r="B190" s="7">
        <v>635958.38211193902</v>
      </c>
      <c r="C190" s="7">
        <v>70327.137888060999</v>
      </c>
    </row>
    <row r="191" spans="1:3">
      <c r="A191" s="7">
        <v>167</v>
      </c>
      <c r="B191" s="7">
        <v>625307.43888551812</v>
      </c>
      <c r="C191" s="7">
        <v>40227.261114481837</v>
      </c>
    </row>
    <row r="192" spans="1:3">
      <c r="A192" s="7">
        <v>168</v>
      </c>
      <c r="B192" s="7">
        <v>727804.49568350834</v>
      </c>
      <c r="C192" s="7">
        <v>92924.794316491694</v>
      </c>
    </row>
    <row r="193" spans="1:3">
      <c r="A193" s="7">
        <v>169</v>
      </c>
      <c r="B193" s="7">
        <v>692937.04402789311</v>
      </c>
      <c r="C193" s="7">
        <v>46894.685972106876</v>
      </c>
    </row>
    <row r="194" spans="1:3">
      <c r="A194" s="7">
        <v>170</v>
      </c>
      <c r="B194" s="7">
        <v>630700.84395167872</v>
      </c>
      <c r="C194" s="7">
        <v>-37063.703951678704</v>
      </c>
    </row>
    <row r="195" spans="1:3">
      <c r="A195" s="7">
        <v>171</v>
      </c>
      <c r="B195" s="7">
        <v>669013.18184021628</v>
      </c>
      <c r="C195" s="7">
        <v>100689.57815978373</v>
      </c>
    </row>
    <row r="196" spans="1:3">
      <c r="A196" s="7">
        <v>172</v>
      </c>
      <c r="B196" s="7">
        <v>638733.66597460734</v>
      </c>
      <c r="C196" s="7">
        <v>40997.904025392607</v>
      </c>
    </row>
    <row r="197" spans="1:3">
      <c r="A197" s="7">
        <v>173</v>
      </c>
      <c r="B197" s="7">
        <v>699706.13345992344</v>
      </c>
      <c r="C197" s="7">
        <v>80638.046540076612</v>
      </c>
    </row>
    <row r="198" spans="1:3">
      <c r="A198" s="7">
        <v>174</v>
      </c>
      <c r="B198" s="7">
        <v>653724.74760591611</v>
      </c>
      <c r="C198" s="7">
        <v>67639.362394083873</v>
      </c>
    </row>
    <row r="199" spans="1:3">
      <c r="A199" s="7">
        <v>175</v>
      </c>
      <c r="B199" s="7">
        <v>705673.9701749481</v>
      </c>
      <c r="C199" s="7">
        <v>52464.319825051934</v>
      </c>
    </row>
    <row r="200" spans="1:3">
      <c r="A200" s="7">
        <v>176</v>
      </c>
      <c r="B200" s="7">
        <v>695034.16462749057</v>
      </c>
      <c r="C200" s="7">
        <v>109229.83537250943</v>
      </c>
    </row>
    <row r="201" spans="1:3">
      <c r="A201" s="7">
        <v>177</v>
      </c>
      <c r="B201" s="7">
        <v>704511.09427156439</v>
      </c>
      <c r="C201" s="7">
        <v>183026.65572843561</v>
      </c>
    </row>
    <row r="202" spans="1:3">
      <c r="A202" s="7">
        <v>178</v>
      </c>
      <c r="B202" s="7">
        <v>623364.11621607933</v>
      </c>
      <c r="C202" s="7">
        <v>160217.88378392067</v>
      </c>
    </row>
    <row r="203" spans="1:3">
      <c r="A203" s="7">
        <v>179</v>
      </c>
      <c r="B203" s="7">
        <v>647099.87301507022</v>
      </c>
      <c r="C203" s="7">
        <v>134855.6469849298</v>
      </c>
    </row>
    <row r="204" spans="1:3">
      <c r="A204" s="7">
        <v>180</v>
      </c>
      <c r="B204" s="7">
        <v>720243.26811687439</v>
      </c>
      <c r="C204" s="7">
        <v>177787.77188312565</v>
      </c>
    </row>
    <row r="205" spans="1:3">
      <c r="A205" s="7">
        <v>181</v>
      </c>
      <c r="B205" s="7">
        <v>706634.32346467802</v>
      </c>
      <c r="C205" s="7">
        <v>148706.95653532201</v>
      </c>
    </row>
    <row r="206" spans="1:3">
      <c r="A206" s="7">
        <v>182</v>
      </c>
      <c r="B206" s="7">
        <v>657053.84882827743</v>
      </c>
      <c r="C206" s="7">
        <v>94340.03117172257</v>
      </c>
    </row>
    <row r="207" spans="1:3">
      <c r="A207" s="7">
        <v>183</v>
      </c>
      <c r="B207" s="7">
        <v>694962.37664319749</v>
      </c>
      <c r="C207" s="7">
        <v>66114.703356802464</v>
      </c>
    </row>
    <row r="208" spans="1:3">
      <c r="A208" s="7">
        <v>184</v>
      </c>
      <c r="B208" s="7">
        <v>684183.85055890062</v>
      </c>
      <c r="C208" s="7">
        <v>135476.73944109934</v>
      </c>
    </row>
    <row r="209" spans="1:3">
      <c r="A209" s="7">
        <v>185</v>
      </c>
      <c r="B209" s="7">
        <v>713982.44442828</v>
      </c>
      <c r="C209" s="7">
        <v>-32126.88442827994</v>
      </c>
    </row>
    <row r="210" spans="1:3">
      <c r="A210" s="7">
        <v>186</v>
      </c>
      <c r="B210" s="7">
        <v>682478.06072150124</v>
      </c>
      <c r="C210" s="7">
        <v>-4166.8907215012005</v>
      </c>
    </row>
    <row r="211" spans="1:3">
      <c r="A211" s="7">
        <v>187</v>
      </c>
      <c r="B211" s="7">
        <v>663064.55389464647</v>
      </c>
      <c r="C211" s="7">
        <v>102842.39610535349</v>
      </c>
    </row>
    <row r="212" spans="1:3">
      <c r="A212" s="7">
        <v>188</v>
      </c>
      <c r="B212" s="7">
        <v>715778.05975299713</v>
      </c>
      <c r="C212" s="7">
        <v>-3231.6797529971227</v>
      </c>
    </row>
    <row r="213" spans="1:3">
      <c r="A213" s="7">
        <v>189</v>
      </c>
      <c r="B213" s="7">
        <v>713344.16811109474</v>
      </c>
      <c r="C213" s="7">
        <v>-87350.338111094781</v>
      </c>
    </row>
    <row r="214" spans="1:3">
      <c r="A214" s="7">
        <v>190</v>
      </c>
      <c r="B214" s="7">
        <v>679583.39286596817</v>
      </c>
      <c r="C214" s="7">
        <v>-128620.46286596812</v>
      </c>
    </row>
    <row r="215" spans="1:3">
      <c r="A215" s="7">
        <v>191</v>
      </c>
      <c r="B215" s="7">
        <v>641074.85720249976</v>
      </c>
      <c r="C215" s="7">
        <v>-197799.26720249973</v>
      </c>
    </row>
    <row r="216" spans="1:3">
      <c r="A216" s="7">
        <v>192</v>
      </c>
      <c r="B216" s="7">
        <v>677831.9662292985</v>
      </c>
      <c r="C216" s="7">
        <v>-123819.89622929855</v>
      </c>
    </row>
    <row r="217" spans="1:3">
      <c r="A217" s="7">
        <v>193</v>
      </c>
      <c r="B217" s="7">
        <v>734969.66483071703</v>
      </c>
      <c r="C217" s="7">
        <v>-91540.814830717049</v>
      </c>
    </row>
    <row r="218" spans="1:3">
      <c r="A218" s="7">
        <v>194</v>
      </c>
      <c r="B218" s="7">
        <v>669669.83639247855</v>
      </c>
      <c r="C218" s="7">
        <v>-57745.566392478533</v>
      </c>
    </row>
    <row r="219" spans="1:3">
      <c r="A219" s="7">
        <v>195</v>
      </c>
      <c r="B219" s="7">
        <v>646429.24844865885</v>
      </c>
      <c r="C219" s="7">
        <v>-87007.228448658832</v>
      </c>
    </row>
    <row r="220" spans="1:3">
      <c r="A220" s="7">
        <v>196</v>
      </c>
      <c r="B220" s="7">
        <v>649490.42779905617</v>
      </c>
      <c r="C220" s="7">
        <v>-200025.36779905617</v>
      </c>
    </row>
    <row r="221" spans="1:3">
      <c r="A221" s="7">
        <v>197</v>
      </c>
      <c r="B221" s="7">
        <v>713790.42062099115</v>
      </c>
      <c r="C221" s="7">
        <v>-22342.990620991099</v>
      </c>
    </row>
    <row r="222" spans="1:3">
      <c r="A222" s="7">
        <v>198</v>
      </c>
      <c r="B222" s="7">
        <v>675780.43983746483</v>
      </c>
      <c r="C222" s="7">
        <v>-101713.82983746484</v>
      </c>
    </row>
    <row r="223" spans="1:3">
      <c r="A223" s="7">
        <v>199</v>
      </c>
      <c r="B223" s="7">
        <v>676795.18248106143</v>
      </c>
      <c r="C223" s="7">
        <v>-97845.342481061467</v>
      </c>
    </row>
    <row r="224" spans="1:3">
      <c r="A224" s="7">
        <v>200</v>
      </c>
      <c r="B224" s="7">
        <v>691515.80804576632</v>
      </c>
      <c r="C224" s="7">
        <v>44270.831954233698</v>
      </c>
    </row>
    <row r="225" spans="1:3">
      <c r="A225" s="7">
        <v>201</v>
      </c>
      <c r="B225" s="7">
        <v>608294.41066367598</v>
      </c>
      <c r="C225" s="7">
        <v>-9389.5106636759592</v>
      </c>
    </row>
    <row r="226" spans="1:3">
      <c r="A226" s="7">
        <v>202</v>
      </c>
      <c r="B226" s="7">
        <v>727122.6695508738</v>
      </c>
      <c r="C226" s="7">
        <v>60592.840449126204</v>
      </c>
    </row>
    <row r="227" spans="1:3">
      <c r="A227" s="7">
        <v>203</v>
      </c>
      <c r="B227" s="7">
        <v>635745.27550890716</v>
      </c>
      <c r="C227" s="7">
        <v>-28660.355508907116</v>
      </c>
    </row>
    <row r="228" spans="1:3">
      <c r="A228" s="7">
        <v>204</v>
      </c>
      <c r="B228" s="7">
        <v>697292.23853034712</v>
      </c>
      <c r="C228" s="7">
        <v>-46496.748530347133</v>
      </c>
    </row>
    <row r="229" spans="1:3">
      <c r="A229" s="7">
        <v>205</v>
      </c>
      <c r="B229" s="7">
        <v>756890.23550773016</v>
      </c>
      <c r="C229" s="7">
        <v>68170.284492269857</v>
      </c>
    </row>
    <row r="230" spans="1:3">
      <c r="A230" s="7">
        <v>206</v>
      </c>
      <c r="B230" s="7">
        <v>676415.13846809976</v>
      </c>
      <c r="C230" s="7">
        <v>119049.33153190021</v>
      </c>
    </row>
    <row r="231" spans="1:3">
      <c r="A231" s="7">
        <v>207</v>
      </c>
      <c r="B231" s="7">
        <v>641665.75046864618</v>
      </c>
      <c r="C231" s="7">
        <v>30202.839531353791</v>
      </c>
    </row>
    <row r="232" spans="1:3">
      <c r="A232" s="7">
        <v>208</v>
      </c>
      <c r="B232" s="7">
        <v>680914.84595228394</v>
      </c>
      <c r="C232" s="7">
        <v>-4997.2159522839356</v>
      </c>
    </row>
    <row r="233" spans="1:3">
      <c r="A233" s="7">
        <v>209</v>
      </c>
      <c r="B233" s="7">
        <v>695914.21163161704</v>
      </c>
      <c r="C233" s="7">
        <v>114532.31836838298</v>
      </c>
    </row>
    <row r="234" spans="1:3">
      <c r="A234" s="7">
        <v>210</v>
      </c>
      <c r="B234" s="7">
        <v>694833.47344861843</v>
      </c>
      <c r="C234" s="7">
        <v>-3545.2834486184875</v>
      </c>
    </row>
    <row r="235" spans="1:3">
      <c r="A235" s="7">
        <v>211</v>
      </c>
      <c r="B235" s="7">
        <v>790707.99818862299</v>
      </c>
      <c r="C235" s="7">
        <v>156125.54181137704</v>
      </c>
    </row>
    <row r="236" spans="1:3">
      <c r="A236" s="7">
        <v>212</v>
      </c>
      <c r="B236" s="7">
        <v>665990.6116905082</v>
      </c>
      <c r="C236" s="7">
        <v>95972.61830949178</v>
      </c>
    </row>
    <row r="237" spans="1:3">
      <c r="A237" s="7">
        <v>213</v>
      </c>
      <c r="B237" s="7">
        <v>669146.02474915131</v>
      </c>
      <c r="C237" s="7">
        <v>143006.57525084866</v>
      </c>
    </row>
    <row r="238" spans="1:3">
      <c r="A238" s="7">
        <v>214</v>
      </c>
      <c r="B238" s="7">
        <v>649835.01438281348</v>
      </c>
      <c r="C238" s="7">
        <v>155140.48561718652</v>
      </c>
    </row>
    <row r="239" spans="1:3">
      <c r="A239" s="7">
        <v>215</v>
      </c>
      <c r="B239" s="7">
        <v>635943.98618272447</v>
      </c>
      <c r="C239" s="7">
        <v>116377.7338172755</v>
      </c>
    </row>
    <row r="240" spans="1:3">
      <c r="A240" s="7">
        <v>216</v>
      </c>
      <c r="B240" s="7">
        <v>661700.24146102602</v>
      </c>
      <c r="C240" s="7">
        <v>175207.99853897397</v>
      </c>
    </row>
    <row r="241" spans="1:3">
      <c r="A241" s="7">
        <v>217</v>
      </c>
      <c r="B241" s="7">
        <v>708102.51658277819</v>
      </c>
      <c r="C241" s="7">
        <v>-33813.416582778213</v>
      </c>
    </row>
    <row r="242" spans="1:3">
      <c r="A242" s="7">
        <v>218</v>
      </c>
      <c r="B242" s="7">
        <v>633155.92486809066</v>
      </c>
      <c r="C242" s="7">
        <v>-10263.504868090618</v>
      </c>
    </row>
    <row r="243" spans="1:3">
      <c r="A243" s="7">
        <v>219</v>
      </c>
      <c r="B243" s="7">
        <v>685965.13384166313</v>
      </c>
      <c r="C243" s="7">
        <v>-12616.573841663077</v>
      </c>
    </row>
    <row r="244" spans="1:3">
      <c r="A244" s="7">
        <v>220</v>
      </c>
      <c r="B244" s="7">
        <v>595812.79930264573</v>
      </c>
      <c r="C244" s="7">
        <v>10465.50069735432</v>
      </c>
    </row>
    <row r="245" spans="1:3">
      <c r="A245" s="7">
        <v>221</v>
      </c>
      <c r="B245" s="7">
        <v>674427.94654691254</v>
      </c>
      <c r="C245" s="7">
        <v>37791.863453087513</v>
      </c>
    </row>
    <row r="246" spans="1:3">
      <c r="A246" s="7">
        <v>222</v>
      </c>
      <c r="B246" s="7">
        <v>618690.37983612448</v>
      </c>
      <c r="C246" s="7">
        <v>53980.160163875553</v>
      </c>
    </row>
    <row r="247" spans="1:3">
      <c r="A247" s="7">
        <v>223</v>
      </c>
      <c r="B247" s="7">
        <v>703379.54442124953</v>
      </c>
      <c r="C247" s="7">
        <v>29288.375578750507</v>
      </c>
    </row>
    <row r="248" spans="1:3">
      <c r="A248" s="7">
        <v>224</v>
      </c>
      <c r="B248" s="7">
        <v>717388.42331996735</v>
      </c>
      <c r="C248" s="7">
        <v>6142.9766800326761</v>
      </c>
    </row>
    <row r="249" spans="1:3">
      <c r="A249" s="7">
        <v>225</v>
      </c>
      <c r="B249" s="7">
        <v>706040.55527183937</v>
      </c>
      <c r="C249" s="7">
        <v>-64475.955271839397</v>
      </c>
    </row>
    <row r="250" spans="1:3">
      <c r="A250" s="7">
        <v>226</v>
      </c>
      <c r="B250" s="7">
        <v>682644.38055458595</v>
      </c>
      <c r="C250" s="7">
        <v>-146098.89055458596</v>
      </c>
    </row>
    <row r="251" spans="1:3">
      <c r="A251" s="7">
        <v>227</v>
      </c>
      <c r="B251" s="7">
        <v>652204.31600503006</v>
      </c>
      <c r="C251" s="7">
        <v>-124522.75600503001</v>
      </c>
    </row>
    <row r="252" spans="1:3">
      <c r="A252" s="7">
        <v>228</v>
      </c>
      <c r="B252" s="7">
        <v>644557.92672104586</v>
      </c>
      <c r="C252" s="7">
        <v>-114958.98672104592</v>
      </c>
    </row>
    <row r="253" spans="1:3">
      <c r="A253" s="7">
        <v>229</v>
      </c>
      <c r="B253" s="7">
        <v>640262.10477872519</v>
      </c>
      <c r="C253" s="7">
        <v>-69298.794778725132</v>
      </c>
    </row>
    <row r="254" spans="1:3">
      <c r="A254" s="7">
        <v>230</v>
      </c>
      <c r="B254" s="7">
        <v>802986.72490819369</v>
      </c>
      <c r="C254" s="7">
        <v>67950.675091806334</v>
      </c>
    </row>
    <row r="255" spans="1:3">
      <c r="A255" s="7">
        <v>231</v>
      </c>
      <c r="B255" s="7">
        <v>631423.77088813565</v>
      </c>
      <c r="C255" s="7">
        <v>-34454.500888135633</v>
      </c>
    </row>
    <row r="256" spans="1:3">
      <c r="A256" s="7">
        <v>232</v>
      </c>
      <c r="B256" s="7">
        <v>615758.89162317745</v>
      </c>
      <c r="C256" s="7">
        <v>31753.958376822527</v>
      </c>
    </row>
    <row r="257" spans="1:3">
      <c r="A257" s="7">
        <v>233</v>
      </c>
      <c r="B257" s="7">
        <v>661382.57270940952</v>
      </c>
      <c r="C257" s="7">
        <v>-3310.4327094095061</v>
      </c>
    </row>
    <row r="258" spans="1:3">
      <c r="A258" s="7">
        <v>234</v>
      </c>
      <c r="B258" s="7">
        <v>692067.34675985877</v>
      </c>
      <c r="C258" s="7">
        <v>31237.763240141212</v>
      </c>
    </row>
    <row r="259" spans="1:3">
      <c r="A259" s="7">
        <v>235</v>
      </c>
      <c r="B259" s="7">
        <v>694051.9405991463</v>
      </c>
      <c r="C259" s="7">
        <v>-53385.410599146271</v>
      </c>
    </row>
    <row r="260" spans="1:3">
      <c r="A260" s="7">
        <v>236</v>
      </c>
      <c r="B260" s="7">
        <v>662878.00309594965</v>
      </c>
      <c r="C260" s="7">
        <v>7751.4769040503306</v>
      </c>
    </row>
    <row r="261" spans="1:3">
      <c r="A261" s="7">
        <v>237</v>
      </c>
      <c r="B261" s="7">
        <v>659792.80213585717</v>
      </c>
      <c r="C261" s="7">
        <v>61286.547864142805</v>
      </c>
    </row>
    <row r="262" spans="1:3">
      <c r="A262" s="7">
        <v>238</v>
      </c>
      <c r="B262" s="7">
        <v>716155.31402227969</v>
      </c>
      <c r="C262" s="7">
        <v>94199.705977720325</v>
      </c>
    </row>
    <row r="263" spans="1:3">
      <c r="A263" s="7">
        <v>239</v>
      </c>
      <c r="B263" s="7">
        <v>686550.17077565868</v>
      </c>
      <c r="C263" s="7">
        <v>75369.079224341316</v>
      </c>
    </row>
    <row r="264" spans="1:3">
      <c r="A264" s="7">
        <v>240</v>
      </c>
      <c r="B264" s="7">
        <v>616674.65160554764</v>
      </c>
      <c r="C264" s="7">
        <v>120395.52839445241</v>
      </c>
    </row>
    <row r="265" spans="1:3">
      <c r="A265" s="7">
        <v>241</v>
      </c>
      <c r="B265" s="7">
        <v>709634.91639700532</v>
      </c>
      <c r="C265" s="7">
        <v>67358.013602994732</v>
      </c>
    </row>
    <row r="266" spans="1:3">
      <c r="A266" s="7">
        <v>242</v>
      </c>
      <c r="B266" s="7">
        <v>671050.16323256248</v>
      </c>
      <c r="C266" s="7">
        <v>5287.2467674375512</v>
      </c>
    </row>
    <row r="267" spans="1:3">
      <c r="A267" s="7">
        <v>243</v>
      </c>
      <c r="B267" s="7">
        <v>711550.511995679</v>
      </c>
      <c r="C267" s="7">
        <v>116669.15800432104</v>
      </c>
    </row>
    <row r="268" spans="1:3">
      <c r="A268" s="7">
        <v>244</v>
      </c>
      <c r="B268" s="7">
        <v>674808.30999617337</v>
      </c>
      <c r="C268" s="7">
        <v>88351.610003826674</v>
      </c>
    </row>
    <row r="269" spans="1:3">
      <c r="A269" s="7">
        <v>245</v>
      </c>
      <c r="B269" s="7">
        <v>724631.55621991912</v>
      </c>
      <c r="C269" s="7">
        <v>77370.123780080932</v>
      </c>
    </row>
    <row r="270" spans="1:3">
      <c r="A270" s="7">
        <v>246</v>
      </c>
      <c r="B270" s="7">
        <v>663126.39676215965</v>
      </c>
      <c r="C270" s="7">
        <v>87344.943237840314</v>
      </c>
    </row>
    <row r="271" spans="1:3">
      <c r="A271" s="7">
        <v>247</v>
      </c>
      <c r="B271" s="7">
        <v>682993.75868283038</v>
      </c>
      <c r="C271" s="7">
        <v>-3762.8986828303896</v>
      </c>
    </row>
    <row r="272" spans="1:3">
      <c r="A272" s="7">
        <v>248</v>
      </c>
      <c r="B272" s="7">
        <v>606640.26302797056</v>
      </c>
      <c r="C272" s="7">
        <v>73248.476972029428</v>
      </c>
    </row>
    <row r="273" spans="1:3">
      <c r="A273" s="7">
        <v>249</v>
      </c>
      <c r="B273" s="7">
        <v>647927.38339586509</v>
      </c>
      <c r="C273" s="7">
        <v>-41143.713395865052</v>
      </c>
    </row>
    <row r="274" spans="1:3">
      <c r="A274" s="7">
        <v>250</v>
      </c>
      <c r="B274" s="7">
        <v>716092.7045076486</v>
      </c>
      <c r="C274" s="7">
        <v>-73341.284507648554</v>
      </c>
    </row>
    <row r="275" spans="1:3">
      <c r="A275" s="7">
        <v>251</v>
      </c>
      <c r="B275" s="7">
        <v>642471.96509616508</v>
      </c>
      <c r="C275" s="7">
        <v>5481.8149038349511</v>
      </c>
    </row>
    <row r="276" spans="1:3">
      <c r="A276" s="7">
        <v>252</v>
      </c>
      <c r="B276" s="7">
        <v>768370.35018370138</v>
      </c>
      <c r="C276" s="7">
        <v>-38929.900183701422</v>
      </c>
    </row>
    <row r="277" spans="1:3">
      <c r="A277" s="7">
        <v>253</v>
      </c>
      <c r="B277" s="7">
        <v>734980.44048187463</v>
      </c>
      <c r="C277" s="7">
        <v>29968.559518125374</v>
      </c>
    </row>
    <row r="278" spans="1:3">
      <c r="A278" s="7">
        <v>254</v>
      </c>
      <c r="B278" s="7">
        <v>696180.23818153958</v>
      </c>
      <c r="C278" s="7">
        <v>102866.70181846037</v>
      </c>
    </row>
    <row r="279" spans="1:3">
      <c r="A279" s="7">
        <v>255</v>
      </c>
      <c r="B279" s="7">
        <v>721374.4559393836</v>
      </c>
      <c r="C279" s="7">
        <v>-1294.915939383558</v>
      </c>
    </row>
    <row r="280" spans="1:3">
      <c r="A280" s="7">
        <v>256</v>
      </c>
      <c r="B280" s="7">
        <v>638059.8044536981</v>
      </c>
      <c r="C280" s="7">
        <v>-25669.664453698089</v>
      </c>
    </row>
    <row r="281" spans="1:3">
      <c r="A281" s="7">
        <v>257</v>
      </c>
      <c r="B281" s="7">
        <v>699780.22138557024</v>
      </c>
      <c r="C281" s="7">
        <v>140327.89861442975</v>
      </c>
    </row>
    <row r="282" spans="1:3">
      <c r="A282" s="7">
        <v>258</v>
      </c>
      <c r="B282" s="7">
        <v>621833.18580882833</v>
      </c>
      <c r="C282" s="7">
        <v>76054.904191171634</v>
      </c>
    </row>
    <row r="283" spans="1:3">
      <c r="A283" s="7">
        <v>259</v>
      </c>
      <c r="B283" s="7">
        <v>654881.87365591538</v>
      </c>
      <c r="C283" s="7">
        <v>91233.716344084591</v>
      </c>
    </row>
    <row r="284" spans="1:3">
      <c r="A284" s="7">
        <v>260</v>
      </c>
      <c r="B284" s="7">
        <v>642548.39555467223</v>
      </c>
      <c r="C284" s="7">
        <v>133561.92444532772</v>
      </c>
    </row>
    <row r="285" spans="1:3">
      <c r="A285" s="7">
        <v>261</v>
      </c>
      <c r="B285" s="7">
        <v>591697.43757358496</v>
      </c>
      <c r="C285" s="7">
        <v>-62844.817573584965</v>
      </c>
    </row>
    <row r="286" spans="1:3">
      <c r="A286" s="7">
        <v>262</v>
      </c>
      <c r="B286" s="7">
        <v>652962.82814521098</v>
      </c>
      <c r="C286" s="7">
        <v>-47211.498145211022</v>
      </c>
    </row>
    <row r="287" spans="1:3">
      <c r="A287" s="7">
        <v>263</v>
      </c>
      <c r="B287" s="7">
        <v>670345.16732036392</v>
      </c>
      <c r="C287" s="7">
        <v>7295.4826796361012</v>
      </c>
    </row>
    <row r="288" spans="1:3">
      <c r="A288" s="7">
        <v>264</v>
      </c>
      <c r="B288" s="7">
        <v>685758.41596461402</v>
      </c>
      <c r="C288" s="7">
        <v>-49145.185964614036</v>
      </c>
    </row>
    <row r="289" spans="1:3">
      <c r="A289" s="7">
        <v>265</v>
      </c>
      <c r="B289" s="7">
        <v>686383.76575956075</v>
      </c>
      <c r="C289" s="7">
        <v>22601.424240439199</v>
      </c>
    </row>
    <row r="290" spans="1:3">
      <c r="A290" s="7">
        <v>266</v>
      </c>
      <c r="B290" s="7">
        <v>717204.32153289719</v>
      </c>
      <c r="C290" s="7">
        <v>50588.618467102759</v>
      </c>
    </row>
    <row r="291" spans="1:3">
      <c r="A291" s="7">
        <v>267</v>
      </c>
      <c r="B291" s="7">
        <v>681316.3986760542</v>
      </c>
      <c r="C291" s="7">
        <v>64264.111323945806</v>
      </c>
    </row>
    <row r="292" spans="1:3">
      <c r="A292" s="7">
        <v>268</v>
      </c>
      <c r="B292" s="7">
        <v>704997.06336132041</v>
      </c>
      <c r="C292" s="7">
        <v>57331.246638679644</v>
      </c>
    </row>
    <row r="293" spans="1:3">
      <c r="A293" s="7">
        <v>269</v>
      </c>
      <c r="B293" s="7">
        <v>664600.3610293977</v>
      </c>
      <c r="C293" s="7">
        <v>-3966.3710293977056</v>
      </c>
    </row>
    <row r="294" spans="1:3">
      <c r="A294" s="7">
        <v>270</v>
      </c>
      <c r="B294" s="7">
        <v>611706.07552148798</v>
      </c>
      <c r="C294" s="7">
        <v>127668.48447851208</v>
      </c>
    </row>
    <row r="295" spans="1:3">
      <c r="A295" s="7">
        <v>271</v>
      </c>
      <c r="B295" s="7">
        <v>692801.00675596669</v>
      </c>
      <c r="C295" s="7">
        <v>106955.45324403327</v>
      </c>
    </row>
    <row r="296" spans="1:3">
      <c r="A296" s="7">
        <v>272</v>
      </c>
      <c r="B296" s="7">
        <v>623269.58436728758</v>
      </c>
      <c r="C296" s="7">
        <v>-29926.584367287578</v>
      </c>
    </row>
    <row r="297" spans="1:3">
      <c r="A297" s="7">
        <v>273</v>
      </c>
      <c r="B297" s="7">
        <v>668389.40793101187</v>
      </c>
      <c r="C297" s="7">
        <v>-23349.437931011897</v>
      </c>
    </row>
    <row r="298" spans="1:3">
      <c r="A298" s="7">
        <v>274</v>
      </c>
      <c r="B298" s="7">
        <v>598178.16121050634</v>
      </c>
      <c r="C298" s="7">
        <v>-36580.831210506381</v>
      </c>
    </row>
    <row r="299" spans="1:3">
      <c r="A299" s="7">
        <v>275</v>
      </c>
      <c r="B299" s="7">
        <v>662248.86265691975</v>
      </c>
      <c r="C299" s="7">
        <v>-26411.122656919761</v>
      </c>
    </row>
    <row r="300" spans="1:3">
      <c r="A300" s="7">
        <v>276</v>
      </c>
      <c r="B300" s="7">
        <v>642334.92692383472</v>
      </c>
      <c r="C300" s="7">
        <v>44402.943076165277</v>
      </c>
    </row>
    <row r="301" spans="1:3">
      <c r="A301" s="7">
        <v>277</v>
      </c>
      <c r="B301" s="7">
        <v>692351.26174253295</v>
      </c>
      <c r="C301" s="7">
        <v>-19274.921742532984</v>
      </c>
    </row>
    <row r="302" spans="1:3">
      <c r="A302" s="7">
        <v>278</v>
      </c>
      <c r="B302" s="7">
        <v>639214.56667508371</v>
      </c>
      <c r="C302" s="7">
        <v>99333.85332491633</v>
      </c>
    </row>
    <row r="303" spans="1:3">
      <c r="A303" s="7">
        <v>279</v>
      </c>
      <c r="B303" s="7">
        <v>664294.74567413528</v>
      </c>
      <c r="C303" s="7">
        <v>92325.024325864739</v>
      </c>
    </row>
    <row r="304" spans="1:3">
      <c r="A304" s="7">
        <v>280</v>
      </c>
      <c r="B304" s="7">
        <v>710452.54554828024</v>
      </c>
      <c r="C304" s="7">
        <v>50669.874451719807</v>
      </c>
    </row>
    <row r="305" spans="1:3">
      <c r="A305" s="7">
        <v>281</v>
      </c>
      <c r="B305" s="7">
        <v>658610.86653329153</v>
      </c>
      <c r="C305" s="7">
        <v>-133711.29653329158</v>
      </c>
    </row>
    <row r="306" spans="1:3">
      <c r="A306" s="7">
        <v>282</v>
      </c>
      <c r="B306" s="7">
        <v>634825.36285464815</v>
      </c>
      <c r="C306" s="7">
        <v>-79267.59285464813</v>
      </c>
    </row>
    <row r="307" spans="1:3">
      <c r="A307" s="7">
        <v>283</v>
      </c>
      <c r="B307" s="7">
        <v>701551.19752374734</v>
      </c>
      <c r="C307" s="7">
        <v>12532.482476252713</v>
      </c>
    </row>
    <row r="308" spans="1:3">
      <c r="A308" s="7">
        <v>284</v>
      </c>
      <c r="B308" s="7">
        <v>600385.76417809899</v>
      </c>
      <c r="C308" s="7">
        <v>-102945.94417809899</v>
      </c>
    </row>
    <row r="309" spans="1:3">
      <c r="A309" s="7">
        <v>285</v>
      </c>
      <c r="B309" s="7">
        <v>688941.70516429527</v>
      </c>
      <c r="C309" s="7">
        <v>-52166.045164295239</v>
      </c>
    </row>
    <row r="310" spans="1:3">
      <c r="A310" s="7">
        <v>286</v>
      </c>
      <c r="B310" s="7">
        <v>719514.05893320113</v>
      </c>
      <c r="C310" s="7">
        <v>-86504.528933201102</v>
      </c>
    </row>
    <row r="311" spans="1:3">
      <c r="A311" s="7">
        <v>287</v>
      </c>
      <c r="B311" s="7">
        <v>678696.12660148111</v>
      </c>
      <c r="C311" s="7">
        <v>-68747.126601481112</v>
      </c>
    </row>
    <row r="312" spans="1:3">
      <c r="A312" s="7">
        <v>288</v>
      </c>
      <c r="B312" s="7">
        <v>647938.07386400958</v>
      </c>
      <c r="C312" s="7">
        <v>-99834.373864009627</v>
      </c>
    </row>
    <row r="313" spans="1:3">
      <c r="A313" s="7">
        <v>289</v>
      </c>
      <c r="B313" s="7">
        <v>709874.04641054035</v>
      </c>
      <c r="C313" s="7">
        <v>19550.37358945969</v>
      </c>
    </row>
    <row r="314" spans="1:3">
      <c r="A314" s="7">
        <v>290</v>
      </c>
      <c r="B314" s="7">
        <v>707524.80538790964</v>
      </c>
      <c r="C314" s="7">
        <v>-11263.31538790965</v>
      </c>
    </row>
    <row r="315" spans="1:3">
      <c r="A315" s="7">
        <v>291</v>
      </c>
      <c r="B315" s="7">
        <v>681603.69968349941</v>
      </c>
      <c r="C315" s="7">
        <v>131713.01031650056</v>
      </c>
    </row>
    <row r="316" spans="1:3">
      <c r="A316" s="7">
        <v>292</v>
      </c>
      <c r="B316" s="7">
        <v>675946.71707904304</v>
      </c>
      <c r="C316" s="7">
        <v>26122.202920957003</v>
      </c>
    </row>
    <row r="317" spans="1:3">
      <c r="A317" s="7">
        <v>293</v>
      </c>
      <c r="B317" s="7">
        <v>671507.42564690253</v>
      </c>
      <c r="C317" s="7">
        <v>-125283.72564690257</v>
      </c>
    </row>
    <row r="318" spans="1:3">
      <c r="A318" s="7">
        <v>294</v>
      </c>
      <c r="B318" s="7">
        <v>646179.44926273264</v>
      </c>
      <c r="C318" s="7">
        <v>-113058.18926273263</v>
      </c>
    </row>
    <row r="319" spans="1:3">
      <c r="A319" s="7">
        <v>295</v>
      </c>
      <c r="B319" s="7">
        <v>688180.27550591552</v>
      </c>
      <c r="C319" s="7">
        <v>-189209.95550591551</v>
      </c>
    </row>
    <row r="320" spans="1:3">
      <c r="A320" s="7">
        <v>296</v>
      </c>
      <c r="B320" s="7">
        <v>619124.04655583482</v>
      </c>
      <c r="C320" s="7">
        <v>-131385.78655583481</v>
      </c>
    </row>
    <row r="321" spans="1:3">
      <c r="A321" s="7">
        <v>297</v>
      </c>
      <c r="B321" s="7">
        <v>679180.79665028735</v>
      </c>
      <c r="C321" s="7">
        <v>-10721.426650287351</v>
      </c>
    </row>
    <row r="322" spans="1:3">
      <c r="A322" s="7">
        <v>298</v>
      </c>
      <c r="B322" s="7">
        <v>678921.09493908775</v>
      </c>
      <c r="C322" s="7">
        <v>84241.355060912203</v>
      </c>
    </row>
    <row r="323" spans="1:3">
      <c r="A323" s="7">
        <v>299</v>
      </c>
      <c r="B323" s="7">
        <v>659109.84732829907</v>
      </c>
      <c r="C323" s="7">
        <v>-60092.517328299116</v>
      </c>
    </row>
    <row r="324" spans="1:3">
      <c r="A324" s="7">
        <v>300</v>
      </c>
      <c r="B324" s="7">
        <v>612660.14656400145</v>
      </c>
      <c r="C324" s="7">
        <v>-211077.56656400143</v>
      </c>
    </row>
    <row r="325" spans="1:3">
      <c r="A325" s="7">
        <v>301</v>
      </c>
      <c r="B325" s="7">
        <v>647339.62060545024</v>
      </c>
      <c r="C325" s="7">
        <v>56473.369394549751</v>
      </c>
    </row>
    <row r="326" spans="1:3">
      <c r="A326" s="7">
        <v>302</v>
      </c>
      <c r="B326" s="7">
        <v>697042.4393444208</v>
      </c>
      <c r="C326" s="7">
        <v>27304.290655579185</v>
      </c>
    </row>
    <row r="327" spans="1:3">
      <c r="A327" s="7">
        <v>303</v>
      </c>
      <c r="B327" s="7">
        <v>673312.09166676202</v>
      </c>
      <c r="C327" s="7">
        <v>57577.918333237991</v>
      </c>
    </row>
    <row r="328" spans="1:3">
      <c r="A328" s="7">
        <v>304</v>
      </c>
      <c r="B328" s="7">
        <v>628917.89960016066</v>
      </c>
      <c r="C328" s="7">
        <v>151663.0503998393</v>
      </c>
    </row>
    <row r="329" spans="1:3">
      <c r="A329" s="7">
        <v>305</v>
      </c>
      <c r="B329" s="7">
        <v>677793.29314134945</v>
      </c>
      <c r="C329" s="7">
        <v>50164.18685865053</v>
      </c>
    </row>
    <row r="330" spans="1:3">
      <c r="A330" s="7">
        <v>306</v>
      </c>
      <c r="B330" s="7">
        <v>659049.23961447587</v>
      </c>
      <c r="C330" s="7">
        <v>-120673.23961447587</v>
      </c>
    </row>
    <row r="331" spans="1:3">
      <c r="A331" s="7">
        <v>307</v>
      </c>
      <c r="B331" s="7">
        <v>608452.7019977757</v>
      </c>
      <c r="C331" s="7">
        <v>56889.78800222429</v>
      </c>
    </row>
    <row r="332" spans="1:3">
      <c r="A332" s="7">
        <v>308</v>
      </c>
      <c r="B332" s="7">
        <v>690008.60110766452</v>
      </c>
      <c r="C332" s="7">
        <v>-38844.421107664471</v>
      </c>
    </row>
    <row r="333" spans="1:3">
      <c r="A333" s="7">
        <v>309</v>
      </c>
      <c r="B333" s="7">
        <v>663988.49144627457</v>
      </c>
      <c r="C333" s="7">
        <v>-35450.191446274519</v>
      </c>
    </row>
    <row r="334" spans="1:3">
      <c r="A334" s="7">
        <v>310</v>
      </c>
      <c r="B334" s="7">
        <v>611253.34910259559</v>
      </c>
      <c r="C334" s="7">
        <v>-74728.509102595621</v>
      </c>
    </row>
    <row r="335" spans="1:3">
      <c r="A335" s="7">
        <v>311</v>
      </c>
      <c r="B335" s="7">
        <v>676462.13819557964</v>
      </c>
      <c r="C335" s="7">
        <v>-54784.838195579592</v>
      </c>
    </row>
    <row r="336" spans="1:3">
      <c r="A336" s="7">
        <v>312</v>
      </c>
      <c r="B336" s="7">
        <v>743977.42773436964</v>
      </c>
      <c r="C336" s="7">
        <v>27151.642265630304</v>
      </c>
    </row>
    <row r="337" spans="1:3">
      <c r="A337" s="7">
        <v>313</v>
      </c>
      <c r="B337" s="7">
        <v>728944.62772239337</v>
      </c>
      <c r="C337" s="7">
        <v>-26892.1577223934</v>
      </c>
    </row>
    <row r="338" spans="1:3">
      <c r="A338" s="7">
        <v>314</v>
      </c>
      <c r="B338" s="7">
        <v>660373.30307440483</v>
      </c>
      <c r="C338" s="7">
        <v>27995.156925595133</v>
      </c>
    </row>
    <row r="339" spans="1:3">
      <c r="A339" s="7">
        <v>315</v>
      </c>
      <c r="B339" s="7">
        <v>693891.05118314689</v>
      </c>
      <c r="C339" s="7">
        <v>18484.718816853128</v>
      </c>
    </row>
    <row r="340" spans="1:3">
      <c r="A340" s="7">
        <v>316</v>
      </c>
      <c r="B340" s="7">
        <v>702300.99970083835</v>
      </c>
      <c r="C340" s="7">
        <v>142409.67029916169</v>
      </c>
    </row>
    <row r="341" spans="1:3">
      <c r="A341" s="7">
        <v>317</v>
      </c>
      <c r="B341" s="7">
        <v>723933.31106150895</v>
      </c>
      <c r="C341" s="7">
        <v>-103669.111061509</v>
      </c>
    </row>
    <row r="342" spans="1:3">
      <c r="A342" s="7">
        <v>318</v>
      </c>
      <c r="B342" s="7">
        <v>612074.68371494045</v>
      </c>
      <c r="C342" s="7">
        <v>-75229.263714940404</v>
      </c>
    </row>
    <row r="343" spans="1:3">
      <c r="A343" s="7">
        <v>319</v>
      </c>
      <c r="B343" s="7">
        <v>735195.05908338912</v>
      </c>
      <c r="C343" s="7">
        <v>-8418.8390833891463</v>
      </c>
    </row>
    <row r="344" spans="1:3" ht="15" thickBot="1">
      <c r="A344" s="8">
        <v>320</v>
      </c>
      <c r="B344" s="8">
        <v>647138.24796247343</v>
      </c>
      <c r="C344" s="8">
        <v>-87477.407962473459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DB99-452A-4EF5-A7EE-927D3B7014A3}">
  <dimension ref="A1:I344"/>
  <sheetViews>
    <sheetView workbookViewId="0">
      <selection sqref="A1:I18"/>
    </sheetView>
  </sheetViews>
  <sheetFormatPr defaultRowHeight="14.4"/>
  <cols>
    <col min="1" max="1" width="17.44140625" bestFit="1" customWidth="1"/>
    <col min="2" max="2" width="21.44140625" bestFit="1" customWidth="1"/>
    <col min="3" max="3" width="13.44140625" bestFit="1" customWidth="1"/>
    <col min="4" max="5" width="12" bestFit="1" customWidth="1"/>
    <col min="6" max="6" width="12.44140625" bestFit="1" customWidth="1"/>
    <col min="7" max="7" width="12" bestFit="1" customWidth="1"/>
    <col min="8" max="9" width="12.109375" bestFit="1" customWidth="1"/>
  </cols>
  <sheetData>
    <row r="1" spans="1:9">
      <c r="A1" t="s">
        <v>113</v>
      </c>
    </row>
    <row r="2" spans="1:9" ht="15" thickBot="1"/>
    <row r="3" spans="1:9">
      <c r="A3" s="10" t="s">
        <v>114</v>
      </c>
      <c r="B3" s="10"/>
    </row>
    <row r="4" spans="1:9">
      <c r="A4" s="7" t="s">
        <v>115</v>
      </c>
      <c r="B4" s="7">
        <v>0.85807070804410468</v>
      </c>
    </row>
    <row r="5" spans="1:9">
      <c r="A5" s="7" t="s">
        <v>116</v>
      </c>
      <c r="B5" s="7">
        <v>0.73628534000331114</v>
      </c>
    </row>
    <row r="6" spans="1:9">
      <c r="A6" s="7" t="s">
        <v>117</v>
      </c>
      <c r="B6" s="7">
        <v>0.73545604861967373</v>
      </c>
    </row>
    <row r="7" spans="1:9">
      <c r="A7" s="7" t="s">
        <v>118</v>
      </c>
      <c r="B7" s="7">
        <v>53373.736380790499</v>
      </c>
    </row>
    <row r="8" spans="1:9" ht="15" thickBot="1">
      <c r="A8" s="8" t="s">
        <v>119</v>
      </c>
      <c r="B8" s="8">
        <v>320</v>
      </c>
    </row>
    <row r="10" spans="1:9" ht="15" thickBot="1">
      <c r="A10" t="s">
        <v>120</v>
      </c>
    </row>
    <row r="11" spans="1:9">
      <c r="A11" s="9"/>
      <c r="B11" s="9" t="s">
        <v>123</v>
      </c>
      <c r="C11" s="9" t="s">
        <v>124</v>
      </c>
      <c r="D11" s="9" t="s">
        <v>125</v>
      </c>
      <c r="E11" s="9" t="s">
        <v>126</v>
      </c>
      <c r="F11" s="9" t="s">
        <v>127</v>
      </c>
    </row>
    <row r="12" spans="1:9">
      <c r="A12" s="7" t="s">
        <v>121</v>
      </c>
      <c r="B12" s="7">
        <v>1</v>
      </c>
      <c r="C12" s="7">
        <v>2529264292982.4736</v>
      </c>
      <c r="D12" s="7">
        <v>2529264292982.4736</v>
      </c>
      <c r="E12" s="7">
        <v>887.84877611276033</v>
      </c>
      <c r="F12" s="7">
        <v>4.7503615090053331E-94</v>
      </c>
    </row>
    <row r="13" spans="1:9">
      <c r="A13" s="7" t="s">
        <v>13</v>
      </c>
      <c r="B13" s="7">
        <v>318</v>
      </c>
      <c r="C13" s="7">
        <v>905904323808.26587</v>
      </c>
      <c r="D13" s="7">
        <v>2848755735.246119</v>
      </c>
      <c r="E13" s="7"/>
      <c r="F13" s="7"/>
    </row>
    <row r="14" spans="1:9" ht="15" thickBot="1">
      <c r="A14" s="8" t="s">
        <v>122</v>
      </c>
      <c r="B14" s="8">
        <v>319</v>
      </c>
      <c r="C14" s="8">
        <v>3435168616790.7393</v>
      </c>
      <c r="D14" s="8"/>
      <c r="E14" s="8"/>
      <c r="F14" s="8"/>
    </row>
    <row r="15" spans="1:9" ht="15" thickBot="1"/>
    <row r="16" spans="1:9">
      <c r="A16" s="9"/>
      <c r="B16" s="9" t="s">
        <v>128</v>
      </c>
      <c r="C16" s="9" t="s">
        <v>118</v>
      </c>
      <c r="D16" s="9" t="s">
        <v>129</v>
      </c>
      <c r="E16" s="9" t="s">
        <v>130</v>
      </c>
      <c r="F16" s="9" t="s">
        <v>131</v>
      </c>
      <c r="G16" s="9" t="s">
        <v>132</v>
      </c>
      <c r="H16" s="9" t="s">
        <v>133</v>
      </c>
      <c r="I16" s="9" t="s">
        <v>134</v>
      </c>
    </row>
    <row r="17" spans="1:9">
      <c r="A17" s="7" t="s">
        <v>11</v>
      </c>
      <c r="B17" s="7">
        <v>446410.58293395344</v>
      </c>
      <c r="C17" s="7">
        <v>8407.7382630059928</v>
      </c>
      <c r="D17" s="7">
        <v>53.095204556754318</v>
      </c>
      <c r="E17" s="7">
        <v>4.0862695711507226E-160</v>
      </c>
      <c r="F17" s="7">
        <v>429868.76191129786</v>
      </c>
      <c r="G17" s="7">
        <v>462952.40395660902</v>
      </c>
      <c r="H17" s="7">
        <v>429868.76191129786</v>
      </c>
      <c r="I17" s="7">
        <v>462952.40395660902</v>
      </c>
    </row>
    <row r="18" spans="1:9" ht="15" thickBot="1">
      <c r="A18" s="8" t="s">
        <v>18</v>
      </c>
      <c r="B18" s="8">
        <v>35.678031072640458</v>
      </c>
      <c r="C18" s="8">
        <v>1.1973782890340821</v>
      </c>
      <c r="D18" s="8">
        <v>29.796791372776362</v>
      </c>
      <c r="E18" s="8">
        <v>4.7503615090054677E-94</v>
      </c>
      <c r="F18" s="8">
        <v>33.322246825554025</v>
      </c>
      <c r="G18" s="8">
        <v>38.033815319726891</v>
      </c>
      <c r="H18" s="8">
        <v>33.322246825554025</v>
      </c>
      <c r="I18" s="8">
        <v>38.033815319726891</v>
      </c>
    </row>
    <row r="22" spans="1:9">
      <c r="A22" t="s">
        <v>135</v>
      </c>
    </row>
    <row r="23" spans="1:9" ht="15" thickBot="1"/>
    <row r="24" spans="1:9">
      <c r="A24" s="9" t="s">
        <v>136</v>
      </c>
      <c r="B24" s="9" t="s">
        <v>137</v>
      </c>
      <c r="C24" s="9" t="s">
        <v>138</v>
      </c>
    </row>
    <row r="25" spans="1:9">
      <c r="A25" s="7">
        <v>1</v>
      </c>
      <c r="B25" s="7">
        <v>742609.59689901455</v>
      </c>
      <c r="C25" s="7">
        <v>-83776.976899014553</v>
      </c>
    </row>
    <row r="26" spans="1:9">
      <c r="A26" s="7">
        <v>2</v>
      </c>
      <c r="B26" s="7">
        <v>749210.03264745302</v>
      </c>
      <c r="C26" s="7">
        <v>-114774.03264745302</v>
      </c>
    </row>
    <row r="27" spans="1:9">
      <c r="A27" s="7">
        <v>3</v>
      </c>
      <c r="B27" s="7">
        <v>771544.480098926</v>
      </c>
      <c r="C27" s="7">
        <v>-92822.420098925941</v>
      </c>
    </row>
    <row r="28" spans="1:9">
      <c r="A28" s="7">
        <v>4</v>
      </c>
      <c r="B28" s="7">
        <v>782890.09398002562</v>
      </c>
      <c r="C28" s="7">
        <v>-123969.79398002557</v>
      </c>
    </row>
    <row r="29" spans="1:9">
      <c r="A29" s="7">
        <v>5</v>
      </c>
      <c r="B29" s="7">
        <v>786957.38952230662</v>
      </c>
      <c r="C29" s="7">
        <v>-45615.949522306677</v>
      </c>
    </row>
    <row r="30" spans="1:9">
      <c r="A30" s="7">
        <v>6</v>
      </c>
      <c r="B30" s="7">
        <v>795769.86319724878</v>
      </c>
      <c r="C30" s="7">
        <v>-33934.523197248811</v>
      </c>
    </row>
    <row r="31" spans="1:9">
      <c r="A31" s="7">
        <v>7</v>
      </c>
      <c r="B31" s="7">
        <v>825168.56080110453</v>
      </c>
      <c r="C31" s="7">
        <v>-18553.020801104489</v>
      </c>
    </row>
    <row r="32" spans="1:9">
      <c r="A32" s="7">
        <v>8</v>
      </c>
      <c r="B32" s="7">
        <v>752064.27513326425</v>
      </c>
      <c r="C32" s="7">
        <v>98099.984866735758</v>
      </c>
    </row>
    <row r="33" spans="1:3">
      <c r="A33" s="7">
        <v>9</v>
      </c>
      <c r="B33" s="7">
        <v>838119.68608047301</v>
      </c>
      <c r="C33" s="7">
        <v>92462.013919526944</v>
      </c>
    </row>
    <row r="34" spans="1:3">
      <c r="A34" s="7">
        <v>10</v>
      </c>
      <c r="B34" s="7">
        <v>783889.07885005954</v>
      </c>
      <c r="C34" s="7">
        <v>-4878.1388500595931</v>
      </c>
    </row>
    <row r="35" spans="1:3">
      <c r="A35" s="7">
        <v>11</v>
      </c>
      <c r="B35" s="7">
        <v>773649.48393221176</v>
      </c>
      <c r="C35" s="7">
        <v>-50588.723932211753</v>
      </c>
    </row>
    <row r="36" spans="1:3">
      <c r="A36" s="7">
        <v>12</v>
      </c>
      <c r="B36" s="7">
        <v>847074.87187970581</v>
      </c>
      <c r="C36" s="7">
        <v>63717.068120294134</v>
      </c>
    </row>
    <row r="37" spans="1:3">
      <c r="A37" s="7">
        <v>13</v>
      </c>
      <c r="B37" s="7">
        <v>902197.42988693528</v>
      </c>
      <c r="C37" s="7">
        <v>19971.170113064698</v>
      </c>
    </row>
    <row r="38" spans="1:3">
      <c r="A38" s="7">
        <v>14</v>
      </c>
      <c r="B38" s="7">
        <v>805117.50733828056</v>
      </c>
      <c r="C38" s="7">
        <v>-78511.227338280529</v>
      </c>
    </row>
    <row r="39" spans="1:3">
      <c r="A39" s="7">
        <v>15</v>
      </c>
      <c r="B39" s="7">
        <v>763766.66932509025</v>
      </c>
      <c r="C39" s="7">
        <v>-17265.579325090279</v>
      </c>
    </row>
    <row r="40" spans="1:3">
      <c r="A40" s="7">
        <v>16</v>
      </c>
      <c r="B40" s="7">
        <v>836728.24286863999</v>
      </c>
      <c r="C40" s="7">
        <v>-2711.2228686399758</v>
      </c>
    </row>
    <row r="41" spans="1:3">
      <c r="A41" s="7">
        <v>17</v>
      </c>
      <c r="B41" s="7">
        <v>698190.44821357715</v>
      </c>
      <c r="C41" s="7">
        <v>-32037.928213577135</v>
      </c>
    </row>
    <row r="42" spans="1:3">
      <c r="A42" s="7">
        <v>18</v>
      </c>
      <c r="B42" s="7">
        <v>598506.02939661965</v>
      </c>
      <c r="C42" s="7">
        <v>-25350.839396619704</v>
      </c>
    </row>
    <row r="43" spans="1:3">
      <c r="A43" s="7">
        <v>19</v>
      </c>
      <c r="B43" s="7">
        <v>643995.51901423628</v>
      </c>
      <c r="C43" s="7">
        <v>22577.680985763669</v>
      </c>
    </row>
    <row r="44" spans="1:3">
      <c r="A44" s="7">
        <v>20</v>
      </c>
      <c r="B44" s="7">
        <v>619984.20410234923</v>
      </c>
      <c r="C44" s="7">
        <v>-28364.254102349281</v>
      </c>
    </row>
    <row r="45" spans="1:3">
      <c r="A45" s="7">
        <v>21</v>
      </c>
      <c r="B45" s="7">
        <v>547093.98662094481</v>
      </c>
      <c r="C45" s="7">
        <v>-131372.1666209448</v>
      </c>
    </row>
    <row r="46" spans="1:3">
      <c r="A46" s="7">
        <v>22</v>
      </c>
      <c r="B46" s="7">
        <v>522083.68683902384</v>
      </c>
      <c r="C46" s="7">
        <v>-30178.556839023833</v>
      </c>
    </row>
    <row r="47" spans="1:3">
      <c r="A47" s="7">
        <v>23</v>
      </c>
      <c r="B47" s="7">
        <v>566431.47946231591</v>
      </c>
      <c r="C47" s="7">
        <v>-10502.079462315887</v>
      </c>
    </row>
    <row r="48" spans="1:3">
      <c r="A48" s="7">
        <v>24</v>
      </c>
      <c r="B48" s="7">
        <v>539637.27812676295</v>
      </c>
      <c r="C48" s="7">
        <v>26173.711873237044</v>
      </c>
    </row>
    <row r="49" spans="1:3">
      <c r="A49" s="7">
        <v>25</v>
      </c>
      <c r="B49" s="7">
        <v>810968.70443419367</v>
      </c>
      <c r="C49" s="7">
        <v>802.43556580634322</v>
      </c>
    </row>
    <row r="50" spans="1:3">
      <c r="A50" s="7">
        <v>26</v>
      </c>
      <c r="B50" s="7">
        <v>764908.36631941481</v>
      </c>
      <c r="C50" s="7">
        <v>35543.573680585134</v>
      </c>
    </row>
    <row r="51" spans="1:3">
      <c r="A51" s="7">
        <v>27</v>
      </c>
      <c r="B51" s="7">
        <v>778751.44237559929</v>
      </c>
      <c r="C51" s="7">
        <v>4921.3776244006585</v>
      </c>
    </row>
    <row r="52" spans="1:3">
      <c r="A52" s="7">
        <v>28</v>
      </c>
      <c r="B52" s="7">
        <v>704113.00137163547</v>
      </c>
      <c r="C52" s="7">
        <v>-2471.0313716355013</v>
      </c>
    </row>
    <row r="53" spans="1:3">
      <c r="A53" s="7">
        <v>29</v>
      </c>
      <c r="B53" s="7">
        <v>588694.57085164357</v>
      </c>
      <c r="C53" s="7">
        <v>-76850.160851643595</v>
      </c>
    </row>
    <row r="54" spans="1:3">
      <c r="A54" s="7">
        <v>30</v>
      </c>
      <c r="B54" s="7">
        <v>531681.07719756418</v>
      </c>
      <c r="C54" s="7">
        <v>5702.7128024358535</v>
      </c>
    </row>
    <row r="55" spans="1:3">
      <c r="A55" s="7">
        <v>31</v>
      </c>
      <c r="B55" s="7">
        <v>534570.99771444802</v>
      </c>
      <c r="C55" s="7">
        <v>-34397.977714448003</v>
      </c>
    </row>
    <row r="56" spans="1:3">
      <c r="A56" s="7">
        <v>32</v>
      </c>
      <c r="B56" s="7">
        <v>481053.9511054873</v>
      </c>
      <c r="C56" s="7">
        <v>-53136.571105487295</v>
      </c>
    </row>
    <row r="57" spans="1:3">
      <c r="A57" s="7">
        <v>33</v>
      </c>
      <c r="B57" s="7">
        <v>782818.73791788029</v>
      </c>
      <c r="C57" s="7">
        <v>-140953.70791788027</v>
      </c>
    </row>
    <row r="58" spans="1:3">
      <c r="A58" s="7">
        <v>34</v>
      </c>
      <c r="B58" s="7">
        <v>863665.1563284836</v>
      </c>
      <c r="C58" s="7">
        <v>-64187.396328483592</v>
      </c>
    </row>
    <row r="59" spans="1:3">
      <c r="A59" s="7">
        <v>35</v>
      </c>
      <c r="B59" s="7">
        <v>783532.29853933305</v>
      </c>
      <c r="C59" s="7">
        <v>15419.871460666996</v>
      </c>
    </row>
    <row r="60" spans="1:3">
      <c r="A60" s="7">
        <v>36</v>
      </c>
      <c r="B60" s="7">
        <v>819353.04173626413</v>
      </c>
      <c r="C60" s="7">
        <v>-18373.261736264103</v>
      </c>
    </row>
    <row r="61" spans="1:3">
      <c r="A61" s="7">
        <v>37</v>
      </c>
      <c r="B61" s="7">
        <v>761733.0215539498</v>
      </c>
      <c r="C61" s="7">
        <v>58860.908446050249</v>
      </c>
    </row>
    <row r="62" spans="1:3">
      <c r="A62" s="7">
        <v>38</v>
      </c>
      <c r="B62" s="7">
        <v>737400.6043624091</v>
      </c>
      <c r="C62" s="7">
        <v>-19070.074362409068</v>
      </c>
    </row>
    <row r="63" spans="1:3">
      <c r="A63" s="7">
        <v>39</v>
      </c>
      <c r="B63" s="7">
        <v>716207.85390526056</v>
      </c>
      <c r="C63" s="7">
        <v>20425.54609473946</v>
      </c>
    </row>
    <row r="64" spans="1:3">
      <c r="A64" s="7">
        <v>40</v>
      </c>
      <c r="B64" s="7">
        <v>788848.32516915654</v>
      </c>
      <c r="C64" s="7">
        <v>39775.524830843438</v>
      </c>
    </row>
    <row r="65" spans="1:3">
      <c r="A65" s="7">
        <v>41</v>
      </c>
      <c r="B65" s="7">
        <v>576992.17665981757</v>
      </c>
      <c r="C65" s="7">
        <v>15203.673340182402</v>
      </c>
    </row>
    <row r="66" spans="1:3">
      <c r="A66" s="7">
        <v>42</v>
      </c>
      <c r="B66" s="7">
        <v>561543.58920536423</v>
      </c>
      <c r="C66" s="7">
        <v>-28899.129205364268</v>
      </c>
    </row>
    <row r="67" spans="1:3">
      <c r="A67" s="7">
        <v>43</v>
      </c>
      <c r="B67" s="7">
        <v>566288.76733802538</v>
      </c>
      <c r="C67" s="7">
        <v>91140.412661974668</v>
      </c>
    </row>
    <row r="68" spans="1:3">
      <c r="A68" s="7">
        <v>44</v>
      </c>
      <c r="B68" s="7">
        <v>576349.97210051003</v>
      </c>
      <c r="C68" s="7">
        <v>28828.027899489971</v>
      </c>
    </row>
    <row r="69" spans="1:3">
      <c r="A69" s="7">
        <v>45</v>
      </c>
      <c r="B69" s="7">
        <v>629974.05280268856</v>
      </c>
      <c r="C69" s="7">
        <v>-34506.452802688582</v>
      </c>
    </row>
    <row r="70" spans="1:3">
      <c r="A70" s="7">
        <v>46</v>
      </c>
      <c r="B70" s="7">
        <v>605534.60151792993</v>
      </c>
      <c r="C70" s="7">
        <v>-5931.2015179299051</v>
      </c>
    </row>
    <row r="71" spans="1:3">
      <c r="A71" s="7">
        <v>47</v>
      </c>
      <c r="B71" s="7">
        <v>582129.81313427771</v>
      </c>
      <c r="C71" s="7">
        <v>32670.276865722262</v>
      </c>
    </row>
    <row r="72" spans="1:3">
      <c r="A72" s="7">
        <v>48</v>
      </c>
      <c r="B72" s="7">
        <v>591762.88152389065</v>
      </c>
      <c r="C72" s="7">
        <v>-6397.1515238906723</v>
      </c>
    </row>
    <row r="73" spans="1:3">
      <c r="A73" s="7">
        <v>49</v>
      </c>
      <c r="B73" s="7">
        <v>628511.25352871034</v>
      </c>
      <c r="C73" s="7">
        <v>-5699.5135287103476</v>
      </c>
    </row>
    <row r="74" spans="1:3">
      <c r="A74" s="7">
        <v>50</v>
      </c>
      <c r="B74" s="7">
        <v>644744.75766676175</v>
      </c>
      <c r="C74" s="7">
        <v>-41447.187666761805</v>
      </c>
    </row>
    <row r="75" spans="1:3">
      <c r="A75" s="7">
        <v>51</v>
      </c>
      <c r="B75" s="7">
        <v>630152.4429580518</v>
      </c>
      <c r="C75" s="7">
        <v>-4479.5829580518184</v>
      </c>
    </row>
    <row r="76" spans="1:3">
      <c r="A76" s="7">
        <v>52</v>
      </c>
      <c r="B76" s="7">
        <v>702899.9483151657</v>
      </c>
      <c r="C76" s="7">
        <v>70915.19168483431</v>
      </c>
    </row>
    <row r="77" spans="1:3">
      <c r="A77" s="7">
        <v>53</v>
      </c>
      <c r="B77" s="7">
        <v>563398.84682114155</v>
      </c>
      <c r="C77" s="7">
        <v>-99864.596821141546</v>
      </c>
    </row>
    <row r="78" spans="1:3">
      <c r="A78" s="7">
        <v>54</v>
      </c>
      <c r="B78" s="7">
        <v>656447.15185858775</v>
      </c>
      <c r="C78" s="7">
        <v>90230.598141412251</v>
      </c>
    </row>
    <row r="79" spans="1:3">
      <c r="A79" s="7">
        <v>55</v>
      </c>
      <c r="B79" s="7">
        <v>643210.60233063821</v>
      </c>
      <c r="C79" s="7">
        <v>77641.897669361788</v>
      </c>
    </row>
    <row r="80" spans="1:3">
      <c r="A80" s="7">
        <v>56</v>
      </c>
      <c r="B80" s="7">
        <v>548556.78589492303</v>
      </c>
      <c r="C80" s="7">
        <v>-61091.875894923054</v>
      </c>
    </row>
    <row r="81" spans="1:3">
      <c r="A81" s="7">
        <v>57</v>
      </c>
      <c r="B81" s="7">
        <v>531252.94082469249</v>
      </c>
      <c r="C81" s="7">
        <v>-13203.680824692477</v>
      </c>
    </row>
    <row r="82" spans="1:3">
      <c r="A82" s="7">
        <v>58</v>
      </c>
      <c r="B82" s="7">
        <v>536140.83108164417</v>
      </c>
      <c r="C82" s="7">
        <v>-35842.351081644185</v>
      </c>
    </row>
    <row r="83" spans="1:3">
      <c r="A83" s="7">
        <v>59</v>
      </c>
      <c r="B83" s="7">
        <v>589907.62390811334</v>
      </c>
      <c r="C83" s="7">
        <v>27383.526091886684</v>
      </c>
    </row>
    <row r="84" spans="1:3">
      <c r="A84" s="7">
        <v>60</v>
      </c>
      <c r="B84" s="7">
        <v>602573.32493890077</v>
      </c>
      <c r="C84" s="7">
        <v>-48816.894938900718</v>
      </c>
    </row>
    <row r="85" spans="1:3">
      <c r="A85" s="7">
        <v>61</v>
      </c>
      <c r="B85" s="7">
        <v>635718.21580538375</v>
      </c>
      <c r="C85" s="7">
        <v>113841.49419461621</v>
      </c>
    </row>
    <row r="86" spans="1:3">
      <c r="A86" s="7">
        <v>62</v>
      </c>
      <c r="B86" s="7">
        <v>586553.8889872852</v>
      </c>
      <c r="C86" s="7">
        <v>29412.59101271478</v>
      </c>
    </row>
    <row r="87" spans="1:3">
      <c r="A87" s="7">
        <v>63</v>
      </c>
      <c r="B87" s="7">
        <v>583592.61240825604</v>
      </c>
      <c r="C87" s="7">
        <v>-11581.412408256088</v>
      </c>
    </row>
    <row r="88" spans="1:3">
      <c r="A88" s="7">
        <v>64</v>
      </c>
      <c r="B88" s="7">
        <v>682599.14863483328</v>
      </c>
      <c r="C88" s="7">
        <v>79261.04136516666</v>
      </c>
    </row>
    <row r="89" spans="1:3">
      <c r="A89" s="7">
        <v>65</v>
      </c>
      <c r="B89" s="7">
        <v>773756.51802542969</v>
      </c>
      <c r="C89" s="7">
        <v>10746.161974570365</v>
      </c>
    </row>
    <row r="90" spans="1:3">
      <c r="A90" s="7">
        <v>66</v>
      </c>
      <c r="B90" s="7">
        <v>729694.14965071867</v>
      </c>
      <c r="C90" s="7">
        <v>-12552.599650718621</v>
      </c>
    </row>
    <row r="91" spans="1:3">
      <c r="A91" s="7">
        <v>67</v>
      </c>
      <c r="B91" s="7">
        <v>789918.66610133578</v>
      </c>
      <c r="C91" s="7">
        <v>-104539.58610133582</v>
      </c>
    </row>
    <row r="92" spans="1:3">
      <c r="A92" s="7">
        <v>68</v>
      </c>
      <c r="B92" s="7">
        <v>742395.5287125787</v>
      </c>
      <c r="C92" s="7">
        <v>-1898.8787125786766</v>
      </c>
    </row>
    <row r="93" spans="1:3">
      <c r="A93" s="7">
        <v>69</v>
      </c>
      <c r="B93" s="7">
        <v>574673.10464009584</v>
      </c>
      <c r="C93" s="7">
        <v>87254.03535990417</v>
      </c>
    </row>
    <row r="94" spans="1:3">
      <c r="A94" s="7">
        <v>70</v>
      </c>
      <c r="B94" s="7">
        <v>547522.12299381651</v>
      </c>
      <c r="C94" s="7">
        <v>-68471.622993816505</v>
      </c>
    </row>
    <row r="95" spans="1:3">
      <c r="A95" s="7">
        <v>71</v>
      </c>
      <c r="B95" s="7">
        <v>560330.53614889446</v>
      </c>
      <c r="C95" s="7">
        <v>44693.333851105534</v>
      </c>
    </row>
    <row r="96" spans="1:3">
      <c r="A96" s="7">
        <v>72</v>
      </c>
      <c r="B96" s="7">
        <v>642104.58336738637</v>
      </c>
      <c r="C96" s="7">
        <v>32669.5066326136</v>
      </c>
    </row>
    <row r="97" spans="1:3">
      <c r="A97" s="7">
        <v>73</v>
      </c>
      <c r="B97" s="7">
        <v>657553.17082183971</v>
      </c>
      <c r="C97" s="7">
        <v>-41483.760821839678</v>
      </c>
    </row>
    <row r="98" spans="1:3">
      <c r="A98" s="7">
        <v>74</v>
      </c>
      <c r="B98" s="7">
        <v>689770.43288043397</v>
      </c>
      <c r="C98" s="7">
        <v>-58940.492880434031</v>
      </c>
    </row>
    <row r="99" spans="1:3">
      <c r="A99" s="7">
        <v>75</v>
      </c>
      <c r="B99" s="7">
        <v>689235.26241434435</v>
      </c>
      <c r="C99" s="7">
        <v>98852.417585655698</v>
      </c>
    </row>
    <row r="100" spans="1:3">
      <c r="A100" s="7">
        <v>76</v>
      </c>
      <c r="B100" s="7">
        <v>740825.69534538244</v>
      </c>
      <c r="C100" s="7">
        <v>-59985.335345382453</v>
      </c>
    </row>
    <row r="101" spans="1:3">
      <c r="A101" s="7">
        <v>77</v>
      </c>
      <c r="B101" s="7">
        <v>684097.62593988422</v>
      </c>
      <c r="C101" s="7">
        <v>-40440.155939884251</v>
      </c>
    </row>
    <row r="102" spans="1:3">
      <c r="A102" s="7">
        <v>78</v>
      </c>
      <c r="B102" s="7">
        <v>659123.00418903586</v>
      </c>
      <c r="C102" s="7">
        <v>31989.595810964121</v>
      </c>
    </row>
    <row r="103" spans="1:3">
      <c r="A103" s="7">
        <v>79</v>
      </c>
      <c r="B103" s="7">
        <v>712925.47504657763</v>
      </c>
      <c r="C103" s="7">
        <v>63996.694953422411</v>
      </c>
    </row>
    <row r="104" spans="1:3">
      <c r="A104" s="7">
        <v>80</v>
      </c>
      <c r="B104" s="7">
        <v>659551.14056190755</v>
      </c>
      <c r="C104" s="7">
        <v>-22989.800561907585</v>
      </c>
    </row>
    <row r="105" spans="1:3">
      <c r="A105" s="7">
        <v>81</v>
      </c>
      <c r="B105" s="7">
        <v>639428.73103693826</v>
      </c>
      <c r="C105" s="7">
        <v>-18059.151036938303</v>
      </c>
    </row>
    <row r="106" spans="1:3">
      <c r="A106" s="7">
        <v>82</v>
      </c>
      <c r="B106" s="7">
        <v>605213.49923827616</v>
      </c>
      <c r="C106" s="7">
        <v>76994.510761723854</v>
      </c>
    </row>
    <row r="107" spans="1:3">
      <c r="A107" s="7">
        <v>83</v>
      </c>
      <c r="B107" s="7">
        <v>612099.35923529579</v>
      </c>
      <c r="C107" s="7">
        <v>115142.50076470419</v>
      </c>
    </row>
    <row r="108" spans="1:3">
      <c r="A108" s="7">
        <v>84</v>
      </c>
      <c r="B108" s="7">
        <v>573388.69552148087</v>
      </c>
      <c r="C108" s="7">
        <v>-4287.9155214808416</v>
      </c>
    </row>
    <row r="109" spans="1:3">
      <c r="A109" s="7">
        <v>85</v>
      </c>
      <c r="B109" s="7">
        <v>556691.37697948515</v>
      </c>
      <c r="C109" s="7">
        <v>17744.913020514883</v>
      </c>
    </row>
    <row r="110" spans="1:3">
      <c r="A110" s="7">
        <v>86</v>
      </c>
      <c r="B110" s="7">
        <v>589265.41934880579</v>
      </c>
      <c r="C110" s="7">
        <v>22501.300651194178</v>
      </c>
    </row>
    <row r="111" spans="1:3">
      <c r="A111" s="7">
        <v>87</v>
      </c>
      <c r="B111" s="7">
        <v>581558.96463711548</v>
      </c>
      <c r="C111" s="7">
        <v>33037.355362884467</v>
      </c>
    </row>
    <row r="112" spans="1:3">
      <c r="A112" s="7">
        <v>88</v>
      </c>
      <c r="B112" s="7">
        <v>491364.9020854804</v>
      </c>
      <c r="C112" s="7">
        <v>-40652.982085480413</v>
      </c>
    </row>
    <row r="113" spans="1:3">
      <c r="A113" s="7">
        <v>89</v>
      </c>
      <c r="B113" s="7">
        <v>697013.07318817999</v>
      </c>
      <c r="C113" s="7">
        <v>14200.386811819975</v>
      </c>
    </row>
    <row r="114" spans="1:3">
      <c r="A114" s="7">
        <v>90</v>
      </c>
      <c r="B114" s="7">
        <v>639071.95072621189</v>
      </c>
      <c r="C114" s="7">
        <v>-11900.050726211863</v>
      </c>
    </row>
    <row r="115" spans="1:3">
      <c r="A115" s="7">
        <v>91</v>
      </c>
      <c r="B115" s="7">
        <v>660050.63299692445</v>
      </c>
      <c r="C115" s="7">
        <v>79801.947003075504</v>
      </c>
    </row>
    <row r="116" spans="1:3">
      <c r="A116" s="7">
        <v>92</v>
      </c>
      <c r="B116" s="7">
        <v>578454.97593379579</v>
      </c>
      <c r="C116" s="7">
        <v>7852.2440662041772</v>
      </c>
    </row>
    <row r="117" spans="1:3">
      <c r="A117" s="7">
        <v>93</v>
      </c>
      <c r="B117" s="7">
        <v>607282.8250404892</v>
      </c>
      <c r="C117" s="7">
        <v>-21345.345040489221</v>
      </c>
    </row>
    <row r="118" spans="1:3">
      <c r="A118" s="7">
        <v>94</v>
      </c>
      <c r="B118" s="7">
        <v>677497.19019144564</v>
      </c>
      <c r="C118" s="7">
        <v>75976.359808554407</v>
      </c>
    </row>
    <row r="119" spans="1:3">
      <c r="A119" s="7">
        <v>95</v>
      </c>
      <c r="B119" s="7">
        <v>730764.49058289791</v>
      </c>
      <c r="C119" s="7">
        <v>107485.82941710204</v>
      </c>
    </row>
    <row r="120" spans="1:3">
      <c r="A120" s="7">
        <v>96</v>
      </c>
      <c r="B120" s="7">
        <v>662512.41714093671</v>
      </c>
      <c r="C120" s="7">
        <v>-54614.297140936716</v>
      </c>
    </row>
    <row r="121" spans="1:3">
      <c r="A121" s="7">
        <v>97</v>
      </c>
      <c r="B121" s="7">
        <v>674535.91361241648</v>
      </c>
      <c r="C121" s="7">
        <v>16577.706387583516</v>
      </c>
    </row>
    <row r="122" spans="1:3">
      <c r="A122" s="7">
        <v>98</v>
      </c>
      <c r="B122" s="7">
        <v>630152.4429580518</v>
      </c>
      <c r="C122" s="7">
        <v>105356.95704194822</v>
      </c>
    </row>
    <row r="123" spans="1:3">
      <c r="A123" s="7">
        <v>99</v>
      </c>
      <c r="B123" s="7">
        <v>614525.46534823533</v>
      </c>
      <c r="C123" s="7">
        <v>-8750.1353482353734</v>
      </c>
    </row>
    <row r="124" spans="1:3">
      <c r="A124" s="7">
        <v>100</v>
      </c>
      <c r="B124" s="7">
        <v>634826.26502856775</v>
      </c>
      <c r="C124" s="7">
        <v>40351.414971432299</v>
      </c>
    </row>
    <row r="125" spans="1:3">
      <c r="A125" s="7">
        <v>101</v>
      </c>
      <c r="B125" s="7">
        <v>576349.97210051003</v>
      </c>
      <c r="C125" s="7">
        <v>58831.377899489948</v>
      </c>
    </row>
    <row r="126" spans="1:3">
      <c r="A126" s="7">
        <v>102</v>
      </c>
      <c r="B126" s="7">
        <v>602430.61281461013</v>
      </c>
      <c r="C126" s="7">
        <v>-15803.672814610181</v>
      </c>
    </row>
    <row r="127" spans="1:3">
      <c r="A127" s="7">
        <v>103</v>
      </c>
      <c r="B127" s="7">
        <v>690162.89122223307</v>
      </c>
      <c r="C127" s="7">
        <v>49939.748777766945</v>
      </c>
    </row>
    <row r="128" spans="1:3">
      <c r="A128" s="7">
        <v>104</v>
      </c>
      <c r="B128" s="7">
        <v>532537.34994330746</v>
      </c>
      <c r="C128" s="7">
        <v>92976.690056692576</v>
      </c>
    </row>
    <row r="129" spans="1:3">
      <c r="A129" s="7">
        <v>105</v>
      </c>
      <c r="B129" s="7">
        <v>709500.38406360417</v>
      </c>
      <c r="C129" s="7">
        <v>17726.815936395782</v>
      </c>
    </row>
    <row r="130" spans="1:3">
      <c r="A130" s="7">
        <v>106</v>
      </c>
      <c r="B130" s="7">
        <v>758200.89647775842</v>
      </c>
      <c r="C130" s="7">
        <v>25596.993522241595</v>
      </c>
    </row>
    <row r="131" spans="1:3">
      <c r="A131" s="7">
        <v>107</v>
      </c>
      <c r="B131" s="7">
        <v>695871.37619385554</v>
      </c>
      <c r="C131" s="7">
        <v>99282.463806144428</v>
      </c>
    </row>
    <row r="132" spans="1:3">
      <c r="A132" s="7">
        <v>108</v>
      </c>
      <c r="B132" s="7">
        <v>699974.34976720915</v>
      </c>
      <c r="C132" s="7">
        <v>-34379.409767209203</v>
      </c>
    </row>
    <row r="133" spans="1:3">
      <c r="A133" s="7">
        <v>109</v>
      </c>
      <c r="B133" s="7">
        <v>695264.8496656206</v>
      </c>
      <c r="C133" s="7">
        <v>14213.540334379417</v>
      </c>
    </row>
    <row r="134" spans="1:3">
      <c r="A134" s="7">
        <v>110</v>
      </c>
      <c r="B134" s="7">
        <v>642390.00761596742</v>
      </c>
      <c r="C134" s="7">
        <v>21772.48238403257</v>
      </c>
    </row>
    <row r="135" spans="1:3">
      <c r="A135" s="7">
        <v>111</v>
      </c>
      <c r="B135" s="7">
        <v>649275.86761298706</v>
      </c>
      <c r="C135" s="7">
        <v>-15781.657612987095</v>
      </c>
    </row>
    <row r="136" spans="1:3">
      <c r="A136" s="7">
        <v>112</v>
      </c>
      <c r="B136" s="7">
        <v>591370.42318209168</v>
      </c>
      <c r="C136" s="7">
        <v>122240.73681790836</v>
      </c>
    </row>
    <row r="137" spans="1:3">
      <c r="A137" s="7">
        <v>113</v>
      </c>
      <c r="B137" s="7">
        <v>766299.80953124771</v>
      </c>
      <c r="C137" s="7">
        <v>12098.160468752263</v>
      </c>
    </row>
    <row r="138" spans="1:3">
      <c r="A138" s="7">
        <v>114</v>
      </c>
      <c r="B138" s="7">
        <v>784959.41978223878</v>
      </c>
      <c r="C138" s="7">
        <v>88420.600217761239</v>
      </c>
    </row>
    <row r="139" spans="1:3">
      <c r="A139" s="7">
        <v>115</v>
      </c>
      <c r="B139" s="7">
        <v>775540.41957906168</v>
      </c>
      <c r="C139" s="7">
        <v>-78252.519579061656</v>
      </c>
    </row>
    <row r="140" spans="1:3">
      <c r="A140" s="7">
        <v>116</v>
      </c>
      <c r="B140" s="7">
        <v>776396.69232480507</v>
      </c>
      <c r="C140" s="7">
        <v>-58321.902324805036</v>
      </c>
    </row>
    <row r="141" spans="1:3">
      <c r="A141" s="7">
        <v>117</v>
      </c>
      <c r="B141" s="7">
        <v>725448.46395307453</v>
      </c>
      <c r="C141" s="7">
        <v>-10506.033953074482</v>
      </c>
    </row>
    <row r="142" spans="1:3">
      <c r="A142" s="7">
        <v>118</v>
      </c>
      <c r="B142" s="7">
        <v>747319.0970006031</v>
      </c>
      <c r="C142" s="7">
        <v>73199.942999396939</v>
      </c>
    </row>
    <row r="143" spans="1:3">
      <c r="A143" s="7">
        <v>119</v>
      </c>
      <c r="B143" s="7">
        <v>750101.98342426901</v>
      </c>
      <c r="C143" s="7">
        <v>-65884.663424269063</v>
      </c>
    </row>
    <row r="144" spans="1:3">
      <c r="A144" s="7">
        <v>120</v>
      </c>
      <c r="B144" s="7">
        <v>725270.07379771117</v>
      </c>
      <c r="C144" s="7">
        <v>10210.116202288773</v>
      </c>
    </row>
    <row r="145" spans="1:3">
      <c r="A145" s="7">
        <v>121</v>
      </c>
      <c r="B145" s="7">
        <v>583878.0366568371</v>
      </c>
      <c r="C145" s="7">
        <v>-74393.226656837098</v>
      </c>
    </row>
    <row r="146" spans="1:3">
      <c r="A146" s="7">
        <v>122</v>
      </c>
      <c r="B146" s="7">
        <v>578205.22971628723</v>
      </c>
      <c r="C146" s="7">
        <v>76111.86028371274</v>
      </c>
    </row>
    <row r="147" spans="1:3">
      <c r="A147" s="7">
        <v>123</v>
      </c>
      <c r="B147" s="7">
        <v>604214.51436824212</v>
      </c>
      <c r="C147" s="7">
        <v>-46727.254368242109</v>
      </c>
    </row>
    <row r="148" spans="1:3">
      <c r="A148" s="7">
        <v>124</v>
      </c>
      <c r="B148" s="7">
        <v>514412.91015840613</v>
      </c>
      <c r="C148" s="7">
        <v>-73137.490158406144</v>
      </c>
    </row>
    <row r="149" spans="1:3">
      <c r="A149" s="7">
        <v>125</v>
      </c>
      <c r="B149" s="7">
        <v>817319.39396512369</v>
      </c>
      <c r="C149" s="7">
        <v>97224.776034876355</v>
      </c>
    </row>
    <row r="150" spans="1:3">
      <c r="A150" s="7">
        <v>126</v>
      </c>
      <c r="B150" s="7">
        <v>841580.45509451907</v>
      </c>
      <c r="C150" s="7">
        <v>859.21490548097063</v>
      </c>
    </row>
    <row r="151" spans="1:3">
      <c r="A151" s="7">
        <v>127</v>
      </c>
      <c r="B151" s="7">
        <v>787992.05242341314</v>
      </c>
      <c r="C151" s="7">
        <v>54165.867576586897</v>
      </c>
    </row>
    <row r="152" spans="1:3">
      <c r="A152" s="7">
        <v>128</v>
      </c>
      <c r="B152" s="7">
        <v>739719.67638213071</v>
      </c>
      <c r="C152" s="7">
        <v>-42564.376382130664</v>
      </c>
    </row>
    <row r="153" spans="1:3">
      <c r="A153" s="7">
        <v>129</v>
      </c>
      <c r="B153" s="7">
        <v>825239.91686324985</v>
      </c>
      <c r="C153" s="7">
        <v>23778.383136750199</v>
      </c>
    </row>
    <row r="154" spans="1:3">
      <c r="A154" s="7">
        <v>130</v>
      </c>
      <c r="B154" s="7">
        <v>824455.00017965166</v>
      </c>
      <c r="C154" s="7">
        <v>-22624.650179651682</v>
      </c>
    </row>
    <row r="155" spans="1:3">
      <c r="A155" s="7">
        <v>131</v>
      </c>
      <c r="B155" s="7">
        <v>789597.56382168201</v>
      </c>
      <c r="C155" s="7">
        <v>-64362.28382168198</v>
      </c>
    </row>
    <row r="156" spans="1:3">
      <c r="A156" s="7">
        <v>132</v>
      </c>
      <c r="B156" s="7">
        <v>833017.72763708537</v>
      </c>
      <c r="C156" s="7">
        <v>-21565.007637085393</v>
      </c>
    </row>
    <row r="157" spans="1:3">
      <c r="A157" s="7">
        <v>133</v>
      </c>
      <c r="B157" s="7">
        <v>554978.83148799837</v>
      </c>
      <c r="C157" s="7">
        <v>-27678.701487998362</v>
      </c>
    </row>
    <row r="158" spans="1:3">
      <c r="A158" s="7">
        <v>134</v>
      </c>
      <c r="B158" s="7">
        <v>511130.53129972325</v>
      </c>
      <c r="C158" s="7">
        <v>-110298.88129972323</v>
      </c>
    </row>
    <row r="159" spans="1:3">
      <c r="A159" s="7">
        <v>135</v>
      </c>
      <c r="B159" s="7">
        <v>575493.69935476664</v>
      </c>
      <c r="C159" s="7">
        <v>17753.550645233365</v>
      </c>
    </row>
    <row r="160" spans="1:3">
      <c r="A160" s="7">
        <v>136</v>
      </c>
      <c r="B160" s="7">
        <v>516446.55792954669</v>
      </c>
      <c r="C160" s="7">
        <v>12629.392070453265</v>
      </c>
    </row>
    <row r="161" spans="1:3">
      <c r="A161" s="7">
        <v>137</v>
      </c>
      <c r="B161" s="7">
        <v>727838.89203494135</v>
      </c>
      <c r="C161" s="7">
        <v>-94200.862034941325</v>
      </c>
    </row>
    <row r="162" spans="1:3">
      <c r="A162" s="7">
        <v>138</v>
      </c>
      <c r="B162" s="7">
        <v>669184.2089515205</v>
      </c>
      <c r="C162" s="7">
        <v>74164.631048479467</v>
      </c>
    </row>
    <row r="163" spans="1:3">
      <c r="A163" s="7">
        <v>139</v>
      </c>
      <c r="B163" s="7">
        <v>679887.61827331258</v>
      </c>
      <c r="C163" s="7">
        <v>78940.021726687439</v>
      </c>
    </row>
    <row r="164" spans="1:3">
      <c r="A164" s="7">
        <v>140</v>
      </c>
      <c r="B164" s="7">
        <v>641391.0227459335</v>
      </c>
      <c r="C164" s="7">
        <v>5168.6872540664626</v>
      </c>
    </row>
    <row r="165" spans="1:3">
      <c r="A165" s="7">
        <v>141</v>
      </c>
      <c r="B165" s="7">
        <v>675713.28863781365</v>
      </c>
      <c r="C165" s="7">
        <v>40177.241362186382</v>
      </c>
    </row>
    <row r="166" spans="1:3">
      <c r="A166" s="7">
        <v>142</v>
      </c>
      <c r="B166" s="7">
        <v>685596.10324493505</v>
      </c>
      <c r="C166" s="7">
        <v>29501.466755064903</v>
      </c>
    </row>
    <row r="167" spans="1:3">
      <c r="A167" s="7">
        <v>143</v>
      </c>
      <c r="B167" s="7">
        <v>647813.06833900884</v>
      </c>
      <c r="C167" s="7">
        <v>34826.21166099119</v>
      </c>
    </row>
    <row r="168" spans="1:3">
      <c r="A168" s="7">
        <v>144</v>
      </c>
      <c r="B168" s="7">
        <v>663654.11413526116</v>
      </c>
      <c r="C168" s="7">
        <v>31444.39586473885</v>
      </c>
    </row>
    <row r="169" spans="1:3">
      <c r="A169" s="7">
        <v>145</v>
      </c>
      <c r="B169" s="7">
        <v>600254.25291917915</v>
      </c>
      <c r="C169" s="7">
        <v>-22521.682919179206</v>
      </c>
    </row>
    <row r="170" spans="1:3">
      <c r="A170" s="7">
        <v>146</v>
      </c>
      <c r="B170" s="7">
        <v>558867.73687491613</v>
      </c>
      <c r="C170" s="7">
        <v>-21809.406874916167</v>
      </c>
    </row>
    <row r="171" spans="1:3">
      <c r="A171" s="7">
        <v>147</v>
      </c>
      <c r="B171" s="7">
        <v>598363.31727232912</v>
      </c>
      <c r="C171" s="7">
        <v>3205.5527276708744</v>
      </c>
    </row>
    <row r="172" spans="1:3">
      <c r="A172" s="7">
        <v>148</v>
      </c>
      <c r="B172" s="7">
        <v>565931.98702729901</v>
      </c>
      <c r="C172" s="7">
        <v>5032.8529727009591</v>
      </c>
    </row>
    <row r="173" spans="1:3">
      <c r="A173" s="7">
        <v>149</v>
      </c>
      <c r="B173" s="7">
        <v>636538.81052005442</v>
      </c>
      <c r="C173" s="7">
        <v>-22513.900520054391</v>
      </c>
    </row>
    <row r="174" spans="1:3">
      <c r="A174" s="7">
        <v>150</v>
      </c>
      <c r="B174" s="7">
        <v>680137.36449082103</v>
      </c>
      <c r="C174" s="7">
        <v>32730.98550917895</v>
      </c>
    </row>
    <row r="175" spans="1:3">
      <c r="A175" s="7">
        <v>151</v>
      </c>
      <c r="B175" s="7">
        <v>644423.65538710798</v>
      </c>
      <c r="C175" s="7">
        <v>52320.494612892042</v>
      </c>
    </row>
    <row r="176" spans="1:3">
      <c r="A176" s="7">
        <v>152</v>
      </c>
      <c r="B176" s="7">
        <v>657303.42460433114</v>
      </c>
      <c r="C176" s="7">
        <v>68544.565395668847</v>
      </c>
    </row>
    <row r="177" spans="1:3">
      <c r="A177" s="7">
        <v>153</v>
      </c>
      <c r="B177" s="7">
        <v>791559.85553067725</v>
      </c>
      <c r="C177" s="7">
        <v>-6531.6055306772469</v>
      </c>
    </row>
    <row r="178" spans="1:3">
      <c r="A178" s="7">
        <v>154</v>
      </c>
      <c r="B178" s="7">
        <v>686880.51236355014</v>
      </c>
      <c r="C178" s="7">
        <v>11612.157636449905</v>
      </c>
    </row>
    <row r="179" spans="1:3">
      <c r="A179" s="7">
        <v>155</v>
      </c>
      <c r="B179" s="7">
        <v>722736.93359155371</v>
      </c>
      <c r="C179" s="7">
        <v>-36906.693591553718</v>
      </c>
    </row>
    <row r="180" spans="1:3">
      <c r="A180" s="7">
        <v>156</v>
      </c>
      <c r="B180" s="7">
        <v>720881.67597577651</v>
      </c>
      <c r="C180" s="7">
        <v>-18562.735975776566</v>
      </c>
    </row>
    <row r="181" spans="1:3">
      <c r="A181" s="7">
        <v>157</v>
      </c>
      <c r="B181" s="7">
        <v>675606.25454459572</v>
      </c>
      <c r="C181" s="7">
        <v>24472.065455404227</v>
      </c>
    </row>
    <row r="182" spans="1:3">
      <c r="A182" s="7">
        <v>158</v>
      </c>
      <c r="B182" s="7">
        <v>639071.95072621189</v>
      </c>
      <c r="C182" s="7">
        <v>-37069.630726211937</v>
      </c>
    </row>
    <row r="183" spans="1:3">
      <c r="A183" s="7">
        <v>159</v>
      </c>
      <c r="B183" s="7">
        <v>696691.97090852621</v>
      </c>
      <c r="C183" s="7">
        <v>27524.099091473734</v>
      </c>
    </row>
    <row r="184" spans="1:3">
      <c r="A184" s="7">
        <v>160</v>
      </c>
      <c r="B184" s="7">
        <v>583663.96847040125</v>
      </c>
      <c r="C184" s="7">
        <v>37309.061529598781</v>
      </c>
    </row>
    <row r="185" spans="1:3">
      <c r="A185" s="7">
        <v>161</v>
      </c>
      <c r="B185" s="7">
        <v>712390.30458048801</v>
      </c>
      <c r="C185" s="7">
        <v>-61910.244580487953</v>
      </c>
    </row>
    <row r="186" spans="1:3">
      <c r="A186" s="7">
        <v>162</v>
      </c>
      <c r="B186" s="7">
        <v>695871.37619385554</v>
      </c>
      <c r="C186" s="7">
        <v>82427.503806144465</v>
      </c>
    </row>
    <row r="187" spans="1:3">
      <c r="A187" s="7">
        <v>163</v>
      </c>
      <c r="B187" s="7">
        <v>733190.59669583745</v>
      </c>
      <c r="C187" s="7">
        <v>-56093.886695837486</v>
      </c>
    </row>
    <row r="188" spans="1:3">
      <c r="A188" s="7">
        <v>164</v>
      </c>
      <c r="B188" s="7">
        <v>662441.06107879139</v>
      </c>
      <c r="C188" s="7">
        <v>29567.578921208624</v>
      </c>
    </row>
    <row r="189" spans="1:3">
      <c r="A189" s="7">
        <v>165</v>
      </c>
      <c r="B189" s="7">
        <v>779036.86662418046</v>
      </c>
      <c r="C189" s="7">
        <v>46761.043375819572</v>
      </c>
    </row>
    <row r="190" spans="1:3">
      <c r="A190" s="7">
        <v>166</v>
      </c>
      <c r="B190" s="7">
        <v>759984.79803139041</v>
      </c>
      <c r="C190" s="7">
        <v>-53699.278031390393</v>
      </c>
    </row>
    <row r="191" spans="1:3">
      <c r="A191" s="7">
        <v>167</v>
      </c>
      <c r="B191" s="7">
        <v>693980.44054700551</v>
      </c>
      <c r="C191" s="7">
        <v>-28445.740547005553</v>
      </c>
    </row>
    <row r="192" spans="1:3">
      <c r="A192" s="7">
        <v>168</v>
      </c>
      <c r="B192" s="7">
        <v>783211.19625967939</v>
      </c>
      <c r="C192" s="7">
        <v>37518.093740320648</v>
      </c>
    </row>
    <row r="193" spans="1:3">
      <c r="A193" s="7">
        <v>169</v>
      </c>
      <c r="B193" s="7">
        <v>780856.44620888517</v>
      </c>
      <c r="C193" s="7">
        <v>-41024.716208885191</v>
      </c>
    </row>
    <row r="194" spans="1:3">
      <c r="A194" s="7">
        <v>170</v>
      </c>
      <c r="B194" s="7">
        <v>716707.34634027747</v>
      </c>
      <c r="C194" s="7">
        <v>-123070.20634027745</v>
      </c>
    </row>
    <row r="195" spans="1:3">
      <c r="A195" s="7">
        <v>171</v>
      </c>
      <c r="B195" s="7">
        <v>765693.28300301288</v>
      </c>
      <c r="C195" s="7">
        <v>4009.4769969871268</v>
      </c>
    </row>
    <row r="196" spans="1:3">
      <c r="A196" s="7">
        <v>172</v>
      </c>
      <c r="B196" s="7">
        <v>720096.75929217832</v>
      </c>
      <c r="C196" s="7">
        <v>-40365.189292178373</v>
      </c>
    </row>
    <row r="197" spans="1:3">
      <c r="A197" s="7">
        <v>173</v>
      </c>
      <c r="B197" s="7">
        <v>758272.25253990362</v>
      </c>
      <c r="C197" s="7">
        <v>22071.927460096427</v>
      </c>
    </row>
    <row r="198" spans="1:3">
      <c r="A198" s="7">
        <v>174</v>
      </c>
      <c r="B198" s="7">
        <v>784638.31750258501</v>
      </c>
      <c r="C198" s="7">
        <v>-63274.207502585021</v>
      </c>
    </row>
    <row r="199" spans="1:3">
      <c r="A199" s="7">
        <v>175</v>
      </c>
      <c r="B199" s="7">
        <v>796982.91625371855</v>
      </c>
      <c r="C199" s="7">
        <v>-38844.62625371851</v>
      </c>
    </row>
    <row r="200" spans="1:3">
      <c r="A200" s="7">
        <v>176</v>
      </c>
      <c r="B200" s="7">
        <v>817533.46215155954</v>
      </c>
      <c r="C200" s="7">
        <v>-13269.462151559535</v>
      </c>
    </row>
    <row r="201" spans="1:3">
      <c r="A201" s="7">
        <v>177</v>
      </c>
      <c r="B201" s="7">
        <v>887426.7250228622</v>
      </c>
      <c r="C201" s="7">
        <v>111.02497713780031</v>
      </c>
    </row>
    <row r="202" spans="1:3">
      <c r="A202" s="7">
        <v>178</v>
      </c>
      <c r="B202" s="7">
        <v>729158.97918462905</v>
      </c>
      <c r="C202" s="7">
        <v>54423.020815370954</v>
      </c>
    </row>
    <row r="203" spans="1:3">
      <c r="A203" s="7">
        <v>179</v>
      </c>
      <c r="B203" s="7">
        <v>762874.71854827437</v>
      </c>
      <c r="C203" s="7">
        <v>19080.801451725652</v>
      </c>
    </row>
    <row r="204" spans="1:3">
      <c r="A204" s="7">
        <v>180</v>
      </c>
      <c r="B204" s="7">
        <v>803155.21562928543</v>
      </c>
      <c r="C204" s="7">
        <v>94875.824370714603</v>
      </c>
    </row>
    <row r="205" spans="1:3">
      <c r="A205" s="7">
        <v>181</v>
      </c>
      <c r="B205" s="7">
        <v>844363.3415181851</v>
      </c>
      <c r="C205" s="7">
        <v>10977.938481814926</v>
      </c>
    </row>
    <row r="206" spans="1:3">
      <c r="A206" s="7">
        <v>182</v>
      </c>
      <c r="B206" s="7">
        <v>777752.45750556537</v>
      </c>
      <c r="C206" s="7">
        <v>-26358.577505565365</v>
      </c>
    </row>
    <row r="207" spans="1:3">
      <c r="A207" s="7">
        <v>183</v>
      </c>
      <c r="B207" s="7">
        <v>796483.42381870165</v>
      </c>
      <c r="C207" s="7">
        <v>-35406.343818701687</v>
      </c>
    </row>
    <row r="208" spans="1:3">
      <c r="A208" s="7">
        <v>184</v>
      </c>
      <c r="B208" s="7">
        <v>829628.31468518462</v>
      </c>
      <c r="C208" s="7">
        <v>-9967.7246851846576</v>
      </c>
    </row>
    <row r="209" spans="1:3">
      <c r="A209" s="7">
        <v>185</v>
      </c>
      <c r="B209" s="7">
        <v>663475.72397989803</v>
      </c>
      <c r="C209" s="7">
        <v>18379.836020102026</v>
      </c>
    </row>
    <row r="210" spans="1:3">
      <c r="A210" s="7">
        <v>186</v>
      </c>
      <c r="B210" s="7">
        <v>633791.60212746111</v>
      </c>
      <c r="C210" s="7">
        <v>44519.56787253893</v>
      </c>
    </row>
    <row r="211" spans="1:3">
      <c r="A211" s="7">
        <v>187</v>
      </c>
      <c r="B211" s="7">
        <v>678888.63340327865</v>
      </c>
      <c r="C211" s="7">
        <v>87018.316596721299</v>
      </c>
    </row>
    <row r="212" spans="1:3">
      <c r="A212" s="7">
        <v>188</v>
      </c>
      <c r="B212" s="7">
        <v>729408.7254021375</v>
      </c>
      <c r="C212" s="7">
        <v>-16862.345402137493</v>
      </c>
    </row>
    <row r="213" spans="1:3">
      <c r="A213" s="7">
        <v>189</v>
      </c>
      <c r="B213" s="7">
        <v>571497.75987463084</v>
      </c>
      <c r="C213" s="7">
        <v>54496.070125369122</v>
      </c>
    </row>
    <row r="214" spans="1:3">
      <c r="A214" s="7">
        <v>190</v>
      </c>
      <c r="B214" s="7">
        <v>528898.19077389815</v>
      </c>
      <c r="C214" s="7">
        <v>22064.739226101898</v>
      </c>
    </row>
    <row r="215" spans="1:3">
      <c r="A215" s="7">
        <v>191</v>
      </c>
      <c r="B215" s="7">
        <v>491650.32633406157</v>
      </c>
      <c r="C215" s="7">
        <v>-48374.736334061541</v>
      </c>
    </row>
    <row r="216" spans="1:3">
      <c r="A216" s="7">
        <v>192</v>
      </c>
      <c r="B216" s="7">
        <v>604214.51436824212</v>
      </c>
      <c r="C216" s="7">
        <v>-50202.44436824217</v>
      </c>
    </row>
    <row r="217" spans="1:3">
      <c r="A217" s="7">
        <v>193</v>
      </c>
      <c r="B217" s="7">
        <v>666793.78086965356</v>
      </c>
      <c r="C217" s="7">
        <v>-23364.930869653588</v>
      </c>
    </row>
    <row r="218" spans="1:3">
      <c r="A218" s="7">
        <v>194</v>
      </c>
      <c r="B218" s="7">
        <v>630152.4429580518</v>
      </c>
      <c r="C218" s="7">
        <v>-18228.172958051786</v>
      </c>
    </row>
    <row r="219" spans="1:3">
      <c r="A219" s="7">
        <v>195</v>
      </c>
      <c r="B219" s="7">
        <v>581380.57448175224</v>
      </c>
      <c r="C219" s="7">
        <v>-21958.554481752217</v>
      </c>
    </row>
    <row r="220" spans="1:3">
      <c r="A220" s="7">
        <v>196</v>
      </c>
      <c r="B220" s="7">
        <v>558261.2103466813</v>
      </c>
      <c r="C220" s="7">
        <v>-108796.1503466813</v>
      </c>
    </row>
    <row r="221" spans="1:3">
      <c r="A221" s="7">
        <v>197</v>
      </c>
      <c r="B221" s="7">
        <v>623730.39736497658</v>
      </c>
      <c r="C221" s="7">
        <v>67717.032635023468</v>
      </c>
    </row>
    <row r="222" spans="1:3">
      <c r="A222" s="7">
        <v>198</v>
      </c>
      <c r="B222" s="7">
        <v>602180.86659710167</v>
      </c>
      <c r="C222" s="7">
        <v>-28114.256597101688</v>
      </c>
    </row>
    <row r="223" spans="1:3">
      <c r="A223" s="7">
        <v>199</v>
      </c>
      <c r="B223" s="7">
        <v>625228.87467002741</v>
      </c>
      <c r="C223" s="7">
        <v>-46279.034670027439</v>
      </c>
    </row>
    <row r="224" spans="1:3">
      <c r="A224" s="7">
        <v>200</v>
      </c>
      <c r="B224" s="7">
        <v>645315.60616392398</v>
      </c>
      <c r="C224" s="7">
        <v>90471.033836076036</v>
      </c>
    </row>
    <row r="225" spans="1:3">
      <c r="A225" s="7">
        <v>201</v>
      </c>
      <c r="B225" s="7">
        <v>658873.2579715274</v>
      </c>
      <c r="C225" s="7">
        <v>-59968.357971527381</v>
      </c>
    </row>
    <row r="226" spans="1:3">
      <c r="A226" s="7">
        <v>202</v>
      </c>
      <c r="B226" s="7">
        <v>674357.52345705335</v>
      </c>
      <c r="C226" s="7">
        <v>113357.98654294666</v>
      </c>
    </row>
    <row r="227" spans="1:3">
      <c r="A227" s="7">
        <v>203</v>
      </c>
      <c r="B227" s="7">
        <v>692446.28521088208</v>
      </c>
      <c r="C227" s="7">
        <v>-85361.365210882039</v>
      </c>
    </row>
    <row r="228" spans="1:3">
      <c r="A228" s="7">
        <v>204</v>
      </c>
      <c r="B228" s="7">
        <v>661013.93983588577</v>
      </c>
      <c r="C228" s="7">
        <v>-10218.449835885782</v>
      </c>
    </row>
    <row r="229" spans="1:3">
      <c r="A229" s="7">
        <v>205</v>
      </c>
      <c r="B229" s="7">
        <v>784495.60537829436</v>
      </c>
      <c r="C229" s="7">
        <v>40564.914621705655</v>
      </c>
    </row>
    <row r="230" spans="1:3">
      <c r="A230" s="7">
        <v>206</v>
      </c>
      <c r="B230" s="7">
        <v>727375.07763099705</v>
      </c>
      <c r="C230" s="7">
        <v>68089.392369002919</v>
      </c>
    </row>
    <row r="231" spans="1:3">
      <c r="A231" s="7">
        <v>207</v>
      </c>
      <c r="B231" s="7">
        <v>777609.74538127473</v>
      </c>
      <c r="C231" s="7">
        <v>-105741.15538127476</v>
      </c>
    </row>
    <row r="232" spans="1:3">
      <c r="A232" s="7">
        <v>208</v>
      </c>
      <c r="B232" s="7">
        <v>742645.27493008715</v>
      </c>
      <c r="C232" s="7">
        <v>-66727.644930087146</v>
      </c>
    </row>
    <row r="233" spans="1:3">
      <c r="A233" s="7">
        <v>209</v>
      </c>
      <c r="B233" s="7">
        <v>807650.64754443802</v>
      </c>
      <c r="C233" s="7">
        <v>2795.8824555620085</v>
      </c>
    </row>
    <row r="234" spans="1:3">
      <c r="A234" s="7">
        <v>210</v>
      </c>
      <c r="B234" s="7">
        <v>783853.40081898682</v>
      </c>
      <c r="C234" s="7">
        <v>-92565.210818986874</v>
      </c>
    </row>
    <row r="235" spans="1:3">
      <c r="A235" s="7">
        <v>211</v>
      </c>
      <c r="B235" s="7">
        <v>905586.84283883614</v>
      </c>
      <c r="C235" s="7">
        <v>41246.697161163902</v>
      </c>
    </row>
    <row r="236" spans="1:3">
      <c r="A236" s="7">
        <v>212</v>
      </c>
      <c r="B236" s="7">
        <v>794342.74195434316</v>
      </c>
      <c r="C236" s="7">
        <v>-32379.511954343179</v>
      </c>
    </row>
    <row r="237" spans="1:3">
      <c r="A237" s="7">
        <v>213</v>
      </c>
      <c r="B237" s="7">
        <v>785530.268279401</v>
      </c>
      <c r="C237" s="7">
        <v>26622.331720598973</v>
      </c>
    </row>
    <row r="238" spans="1:3">
      <c r="A238" s="7">
        <v>214</v>
      </c>
      <c r="B238" s="7">
        <v>782212.21138964547</v>
      </c>
      <c r="C238" s="7">
        <v>22763.288610354532</v>
      </c>
    </row>
    <row r="239" spans="1:3">
      <c r="A239" s="7">
        <v>215</v>
      </c>
      <c r="B239" s="7">
        <v>790489.514598498</v>
      </c>
      <c r="C239" s="7">
        <v>-38167.794598498032</v>
      </c>
    </row>
    <row r="240" spans="1:3">
      <c r="A240" s="7">
        <v>216</v>
      </c>
      <c r="B240" s="7">
        <v>846860.80369326996</v>
      </c>
      <c r="C240" s="7">
        <v>-9952.5636932699708</v>
      </c>
    </row>
    <row r="241" spans="1:3">
      <c r="A241" s="7">
        <v>217</v>
      </c>
      <c r="B241" s="7">
        <v>638857.88253977604</v>
      </c>
      <c r="C241" s="7">
        <v>35431.217460223939</v>
      </c>
    </row>
    <row r="242" spans="1:3">
      <c r="A242" s="7">
        <v>218</v>
      </c>
      <c r="B242" s="7">
        <v>625300.23073217273</v>
      </c>
      <c r="C242" s="7">
        <v>-2407.8107321726857</v>
      </c>
    </row>
    <row r="243" spans="1:3">
      <c r="A243" s="7">
        <v>219</v>
      </c>
      <c r="B243" s="7">
        <v>605784.34773543838</v>
      </c>
      <c r="C243" s="7">
        <v>67564.212264561676</v>
      </c>
    </row>
    <row r="244" spans="1:3">
      <c r="A244" s="7">
        <v>220</v>
      </c>
      <c r="B244" s="7">
        <v>613312.41229176545</v>
      </c>
      <c r="C244" s="7">
        <v>-7034.1122917653993</v>
      </c>
    </row>
    <row r="245" spans="1:3">
      <c r="A245" s="7">
        <v>221</v>
      </c>
      <c r="B245" s="7">
        <v>706539.10748457501</v>
      </c>
      <c r="C245" s="7">
        <v>5680.7025154250441</v>
      </c>
    </row>
    <row r="246" spans="1:3">
      <c r="A246" s="7">
        <v>222</v>
      </c>
      <c r="B246" s="7">
        <v>710570.72499578341</v>
      </c>
      <c r="C246" s="7">
        <v>-37900.184995783377</v>
      </c>
    </row>
    <row r="247" spans="1:3">
      <c r="A247" s="7">
        <v>223</v>
      </c>
      <c r="B247" s="7">
        <v>727553.4677863603</v>
      </c>
      <c r="C247" s="7">
        <v>5114.4522136397427</v>
      </c>
    </row>
    <row r="248" spans="1:3">
      <c r="A248" s="7">
        <v>224</v>
      </c>
      <c r="B248" s="7">
        <v>759413.94953422819</v>
      </c>
      <c r="C248" s="7">
        <v>-35882.549534228165</v>
      </c>
    </row>
    <row r="249" spans="1:3">
      <c r="A249" s="7">
        <v>225</v>
      </c>
      <c r="B249" s="7">
        <v>614561.14337930793</v>
      </c>
      <c r="C249" s="7">
        <v>27003.456620692043</v>
      </c>
    </row>
    <row r="250" spans="1:3">
      <c r="A250" s="7">
        <v>226</v>
      </c>
      <c r="B250" s="7">
        <v>547807.54724239768</v>
      </c>
      <c r="C250" s="7">
        <v>-11262.057242397685</v>
      </c>
    </row>
    <row r="251" spans="1:3">
      <c r="A251" s="7">
        <v>227</v>
      </c>
      <c r="B251" s="7">
        <v>584555.91924721724</v>
      </c>
      <c r="C251" s="7">
        <v>-56874.359247217188</v>
      </c>
    </row>
    <row r="252" spans="1:3">
      <c r="A252" s="7">
        <v>228</v>
      </c>
      <c r="B252" s="7">
        <v>495467.87565883406</v>
      </c>
      <c r="C252" s="7">
        <v>34131.064341165882</v>
      </c>
    </row>
    <row r="253" spans="1:3">
      <c r="A253" s="7">
        <v>229</v>
      </c>
      <c r="B253" s="7">
        <v>658944.61403367261</v>
      </c>
      <c r="C253" s="7">
        <v>-87981.304033672553</v>
      </c>
    </row>
    <row r="254" spans="1:3">
      <c r="A254" s="7">
        <v>230</v>
      </c>
      <c r="B254" s="7">
        <v>766121.41937588458</v>
      </c>
      <c r="C254" s="7">
        <v>104815.98062411544</v>
      </c>
    </row>
    <row r="255" spans="1:3">
      <c r="A255" s="7">
        <v>231</v>
      </c>
      <c r="B255" s="7">
        <v>679923.29630438518</v>
      </c>
      <c r="C255" s="7">
        <v>-82954.026304385159</v>
      </c>
    </row>
    <row r="256" spans="1:3">
      <c r="A256" s="7">
        <v>232</v>
      </c>
      <c r="B256" s="7">
        <v>641105.59849735245</v>
      </c>
      <c r="C256" s="7">
        <v>6407.2515026475303</v>
      </c>
    </row>
    <row r="257" spans="1:3">
      <c r="A257" s="7">
        <v>233</v>
      </c>
      <c r="B257" s="7">
        <v>598541.70742769237</v>
      </c>
      <c r="C257" s="7">
        <v>59530.432572307647</v>
      </c>
    </row>
    <row r="258" spans="1:3">
      <c r="A258" s="7">
        <v>234</v>
      </c>
      <c r="B258" s="7">
        <v>636253.38627147325</v>
      </c>
      <c r="C258" s="7">
        <v>87051.723728526733</v>
      </c>
    </row>
    <row r="259" spans="1:3">
      <c r="A259" s="7">
        <v>235</v>
      </c>
      <c r="B259" s="7">
        <v>641890.51518095052</v>
      </c>
      <c r="C259" s="7">
        <v>-1223.9851809504908</v>
      </c>
    </row>
    <row r="260" spans="1:3">
      <c r="A260" s="7">
        <v>236</v>
      </c>
      <c r="B260" s="7">
        <v>666508.35662107239</v>
      </c>
      <c r="C260" s="7">
        <v>4121.1233789275866</v>
      </c>
    </row>
    <row r="261" spans="1:3">
      <c r="A261" s="7">
        <v>237</v>
      </c>
      <c r="B261" s="7">
        <v>799908.5148016751</v>
      </c>
      <c r="C261" s="7">
        <v>-78829.164801675128</v>
      </c>
    </row>
    <row r="262" spans="1:3">
      <c r="A262" s="7">
        <v>238</v>
      </c>
      <c r="B262" s="7">
        <v>803048.18153606751</v>
      </c>
      <c r="C262" s="7">
        <v>7306.8384639325086</v>
      </c>
    </row>
    <row r="263" spans="1:3">
      <c r="A263" s="7">
        <v>239</v>
      </c>
      <c r="B263" s="7">
        <v>792558.84040071117</v>
      </c>
      <c r="C263" s="7">
        <v>-30639.590400711168</v>
      </c>
    </row>
    <row r="264" spans="1:3">
      <c r="A264" s="7">
        <v>240</v>
      </c>
      <c r="B264" s="7">
        <v>778715.76434452669</v>
      </c>
      <c r="C264" s="7">
        <v>-41645.584344526636</v>
      </c>
    </row>
    <row r="265" spans="1:3">
      <c r="A265" s="7">
        <v>241</v>
      </c>
      <c r="B265" s="7">
        <v>733797.12322407239</v>
      </c>
      <c r="C265" s="7">
        <v>43195.80677592766</v>
      </c>
    </row>
    <row r="266" spans="1:3">
      <c r="A266" s="7">
        <v>242</v>
      </c>
      <c r="B266" s="7">
        <v>647920.10243222676</v>
      </c>
      <c r="C266" s="7">
        <v>28417.30756777327</v>
      </c>
    </row>
    <row r="267" spans="1:3">
      <c r="A267" s="7">
        <v>243</v>
      </c>
      <c r="B267" s="7">
        <v>805902.42402187875</v>
      </c>
      <c r="C267" s="7">
        <v>22317.245978121297</v>
      </c>
    </row>
    <row r="268" spans="1:3">
      <c r="A268" s="7">
        <v>244</v>
      </c>
      <c r="B268" s="7">
        <v>731977.54363936768</v>
      </c>
      <c r="C268" s="7">
        <v>31182.376360632363</v>
      </c>
    </row>
    <row r="269" spans="1:3">
      <c r="A269" s="7">
        <v>245</v>
      </c>
      <c r="B269" s="7">
        <v>765158.11253692326</v>
      </c>
      <c r="C269" s="7">
        <v>36843.56746307679</v>
      </c>
    </row>
    <row r="270" spans="1:3">
      <c r="A270" s="7">
        <v>246</v>
      </c>
      <c r="B270" s="7">
        <v>757986.82829132257</v>
      </c>
      <c r="C270" s="7">
        <v>-7515.4882913226029</v>
      </c>
    </row>
    <row r="271" spans="1:3">
      <c r="A271" s="7">
        <v>247</v>
      </c>
      <c r="B271" s="7">
        <v>709500.38406360417</v>
      </c>
      <c r="C271" s="7">
        <v>-30269.524063604185</v>
      </c>
    </row>
    <row r="272" spans="1:3">
      <c r="A272" s="7">
        <v>248</v>
      </c>
      <c r="B272" s="7">
        <v>736080.51721272129</v>
      </c>
      <c r="C272" s="7">
        <v>-56191.777212721296</v>
      </c>
    </row>
    <row r="273" spans="1:3">
      <c r="A273" s="7">
        <v>249</v>
      </c>
      <c r="B273" s="7">
        <v>584662.95334043517</v>
      </c>
      <c r="C273" s="7">
        <v>22120.716659564874</v>
      </c>
    </row>
    <row r="274" spans="1:3">
      <c r="A274" s="7">
        <v>250</v>
      </c>
      <c r="B274" s="7">
        <v>652094.43206772569</v>
      </c>
      <c r="C274" s="7">
        <v>-9343.0120677256491</v>
      </c>
    </row>
    <row r="275" spans="1:3">
      <c r="A275" s="7">
        <v>251</v>
      </c>
      <c r="B275" s="7">
        <v>671967.09537518641</v>
      </c>
      <c r="C275" s="7">
        <v>-24013.315375186387</v>
      </c>
    </row>
    <row r="276" spans="1:3">
      <c r="A276" s="7">
        <v>252</v>
      </c>
      <c r="B276" s="7">
        <v>690448.31547081424</v>
      </c>
      <c r="C276" s="7">
        <v>38992.134529185714</v>
      </c>
    </row>
    <row r="277" spans="1:3">
      <c r="A277" s="7">
        <v>253</v>
      </c>
      <c r="B277" s="7">
        <v>688378.98966860096</v>
      </c>
      <c r="C277" s="7">
        <v>76570.01033139904</v>
      </c>
    </row>
    <row r="278" spans="1:3">
      <c r="A278" s="7">
        <v>254</v>
      </c>
      <c r="B278" s="7">
        <v>691019.16396797635</v>
      </c>
      <c r="C278" s="7">
        <v>108027.7760320236</v>
      </c>
    </row>
    <row r="279" spans="1:3">
      <c r="A279" s="7">
        <v>255</v>
      </c>
      <c r="B279" s="7">
        <v>647670.35621471819</v>
      </c>
      <c r="C279" s="7">
        <v>72409.183785281843</v>
      </c>
    </row>
    <row r="280" spans="1:3">
      <c r="A280" s="7">
        <v>256</v>
      </c>
      <c r="B280" s="7">
        <v>652879.34875132376</v>
      </c>
      <c r="C280" s="7">
        <v>-40489.208751323749</v>
      </c>
    </row>
    <row r="281" spans="1:3">
      <c r="A281" s="7">
        <v>257</v>
      </c>
      <c r="B281" s="7">
        <v>737721.70664206275</v>
      </c>
      <c r="C281" s="7">
        <v>102386.41335793724</v>
      </c>
    </row>
    <row r="282" spans="1:3">
      <c r="A282" s="7">
        <v>258</v>
      </c>
      <c r="B282" s="7">
        <v>716635.99027813226</v>
      </c>
      <c r="C282" s="7">
        <v>-18747.900278132292</v>
      </c>
    </row>
    <row r="283" spans="1:3">
      <c r="A283" s="7">
        <v>259</v>
      </c>
      <c r="B283" s="7">
        <v>754454.70321513107</v>
      </c>
      <c r="C283" s="7">
        <v>-8339.1132151311031</v>
      </c>
    </row>
    <row r="284" spans="1:3">
      <c r="A284" s="7">
        <v>260</v>
      </c>
      <c r="B284" s="7">
        <v>725983.63441916415</v>
      </c>
      <c r="C284" s="7">
        <v>50126.685580835794</v>
      </c>
    </row>
    <row r="285" spans="1:3">
      <c r="A285" s="7">
        <v>261</v>
      </c>
      <c r="B285" s="7">
        <v>555121.54361228889</v>
      </c>
      <c r="C285" s="7">
        <v>-26268.923612288898</v>
      </c>
    </row>
    <row r="286" spans="1:3">
      <c r="A286" s="7">
        <v>262</v>
      </c>
      <c r="B286" s="7">
        <v>617058.60555439279</v>
      </c>
      <c r="C286" s="7">
        <v>-11307.275554392836</v>
      </c>
    </row>
    <row r="287" spans="1:3">
      <c r="A287" s="7">
        <v>263</v>
      </c>
      <c r="B287" s="7">
        <v>621304.29125203693</v>
      </c>
      <c r="C287" s="7">
        <v>56336.358747963095</v>
      </c>
    </row>
    <row r="288" spans="1:3">
      <c r="A288" s="7">
        <v>264</v>
      </c>
      <c r="B288" s="7">
        <v>589907.62390811334</v>
      </c>
      <c r="C288" s="7">
        <v>46705.606091886642</v>
      </c>
    </row>
    <row r="289" spans="1:3">
      <c r="A289" s="7">
        <v>265</v>
      </c>
      <c r="B289" s="7">
        <v>707716.48250997218</v>
      </c>
      <c r="C289" s="7">
        <v>1268.7074900277657</v>
      </c>
    </row>
    <row r="290" spans="1:3">
      <c r="A290" s="7">
        <v>266</v>
      </c>
      <c r="B290" s="7">
        <v>736437.29752344778</v>
      </c>
      <c r="C290" s="7">
        <v>31355.642476552166</v>
      </c>
    </row>
    <row r="291" spans="1:3">
      <c r="A291" s="7">
        <v>267</v>
      </c>
      <c r="B291" s="7">
        <v>730728.81255182531</v>
      </c>
      <c r="C291" s="7">
        <v>14851.697448174702</v>
      </c>
    </row>
    <row r="292" spans="1:3">
      <c r="A292" s="7">
        <v>268</v>
      </c>
      <c r="B292" s="7">
        <v>704719.52789987042</v>
      </c>
      <c r="C292" s="7">
        <v>57608.78210012964</v>
      </c>
    </row>
    <row r="293" spans="1:3">
      <c r="A293" s="7">
        <v>269</v>
      </c>
      <c r="B293" s="7">
        <v>733690.08913085447</v>
      </c>
      <c r="C293" s="7">
        <v>-73056.099130854476</v>
      </c>
    </row>
    <row r="294" spans="1:3">
      <c r="A294" s="7">
        <v>270</v>
      </c>
      <c r="B294" s="7">
        <v>732477.03607438458</v>
      </c>
      <c r="C294" s="7">
        <v>6897.5239256154746</v>
      </c>
    </row>
    <row r="295" spans="1:3">
      <c r="A295" s="7">
        <v>271</v>
      </c>
      <c r="B295" s="7">
        <v>810041.07562630507</v>
      </c>
      <c r="C295" s="7">
        <v>-10284.615626305109</v>
      </c>
    </row>
    <row r="296" spans="1:3">
      <c r="A296" s="7">
        <v>272</v>
      </c>
      <c r="B296" s="7">
        <v>712069.20230083424</v>
      </c>
      <c r="C296" s="7">
        <v>-118726.20230083424</v>
      </c>
    </row>
    <row r="297" spans="1:3">
      <c r="A297" s="7">
        <v>273</v>
      </c>
      <c r="B297" s="7">
        <v>649382.90170620498</v>
      </c>
      <c r="C297" s="7">
        <v>-4342.9317062050104</v>
      </c>
    </row>
    <row r="298" spans="1:3">
      <c r="A298" s="7">
        <v>274</v>
      </c>
      <c r="B298" s="7">
        <v>565075.71428155561</v>
      </c>
      <c r="C298" s="7">
        <v>-3478.3842815556563</v>
      </c>
    </row>
    <row r="299" spans="1:3">
      <c r="A299" s="7">
        <v>275</v>
      </c>
      <c r="B299" s="7">
        <v>652165.78812987101</v>
      </c>
      <c r="C299" s="7">
        <v>-16328.048129871022</v>
      </c>
    </row>
    <row r="300" spans="1:3">
      <c r="A300" s="7">
        <v>276</v>
      </c>
      <c r="B300" s="7">
        <v>656661.2200450236</v>
      </c>
      <c r="C300" s="7">
        <v>30076.649954976398</v>
      </c>
    </row>
    <row r="301" spans="1:3">
      <c r="A301" s="7">
        <v>277</v>
      </c>
      <c r="B301" s="7">
        <v>751957.24104004633</v>
      </c>
      <c r="C301" s="7">
        <v>-78880.901040046359</v>
      </c>
    </row>
    <row r="302" spans="1:3">
      <c r="A302" s="7">
        <v>278</v>
      </c>
      <c r="B302" s="7">
        <v>731870.50954614975</v>
      </c>
      <c r="C302" s="7">
        <v>6677.910453850287</v>
      </c>
    </row>
    <row r="303" spans="1:3">
      <c r="A303" s="7">
        <v>279</v>
      </c>
      <c r="B303" s="7">
        <v>779072.54465525306</v>
      </c>
      <c r="C303" s="7">
        <v>-22452.774655253044</v>
      </c>
    </row>
    <row r="304" spans="1:3">
      <c r="A304" s="7">
        <v>280</v>
      </c>
      <c r="B304" s="7">
        <v>771401.76797463535</v>
      </c>
      <c r="C304" s="7">
        <v>-10279.347974635311</v>
      </c>
    </row>
    <row r="305" spans="1:3">
      <c r="A305" s="7">
        <v>281</v>
      </c>
      <c r="B305" s="7">
        <v>589907.62390811334</v>
      </c>
      <c r="C305" s="7">
        <v>-65008.05390811339</v>
      </c>
    </row>
    <row r="306" spans="1:3">
      <c r="A306" s="7">
        <v>282</v>
      </c>
      <c r="B306" s="7">
        <v>601788.40825530258</v>
      </c>
      <c r="C306" s="7">
        <v>-46230.638255302561</v>
      </c>
    </row>
    <row r="307" spans="1:3">
      <c r="A307" s="7">
        <v>283</v>
      </c>
      <c r="B307" s="7">
        <v>651380.87144627282</v>
      </c>
      <c r="C307" s="7">
        <v>62702.808553727227</v>
      </c>
    </row>
    <row r="308" spans="1:3">
      <c r="A308" s="7">
        <v>284</v>
      </c>
      <c r="B308" s="7">
        <v>554407.98299083614</v>
      </c>
      <c r="C308" s="7">
        <v>-56968.162990836136</v>
      </c>
    </row>
    <row r="309" spans="1:3">
      <c r="A309" s="7">
        <v>285</v>
      </c>
      <c r="B309" s="7">
        <v>644851.79175997968</v>
      </c>
      <c r="C309" s="7">
        <v>-8076.1317599796457</v>
      </c>
    </row>
    <row r="310" spans="1:3">
      <c r="A310" s="7">
        <v>286</v>
      </c>
      <c r="B310" s="7">
        <v>606497.90835689125</v>
      </c>
      <c r="C310" s="7">
        <v>26511.621643108781</v>
      </c>
    </row>
    <row r="311" spans="1:3">
      <c r="A311" s="7">
        <v>287</v>
      </c>
      <c r="B311" s="7">
        <v>594902.54825828306</v>
      </c>
      <c r="C311" s="7">
        <v>15046.451741716941</v>
      </c>
    </row>
    <row r="312" spans="1:3">
      <c r="A312" s="7">
        <v>288</v>
      </c>
      <c r="B312" s="7">
        <v>592476.4421453434</v>
      </c>
      <c r="C312" s="7">
        <v>-44372.742145343451</v>
      </c>
    </row>
    <row r="313" spans="1:3">
      <c r="A313" s="7">
        <v>289</v>
      </c>
      <c r="B313" s="7">
        <v>749102.99855423509</v>
      </c>
      <c r="C313" s="7">
        <v>-19678.57855423505</v>
      </c>
    </row>
    <row r="314" spans="1:3">
      <c r="A314" s="7">
        <v>290</v>
      </c>
      <c r="B314" s="7">
        <v>724485.15711411322</v>
      </c>
      <c r="C314" s="7">
        <v>-28223.667114113225</v>
      </c>
    </row>
    <row r="315" spans="1:3">
      <c r="A315" s="7">
        <v>291</v>
      </c>
      <c r="B315" s="7">
        <v>742538.24083686923</v>
      </c>
      <c r="C315" s="7">
        <v>70778.469163130736</v>
      </c>
    </row>
    <row r="316" spans="1:3">
      <c r="A316" s="7">
        <v>292</v>
      </c>
      <c r="B316" s="7">
        <v>699118.07702146587</v>
      </c>
      <c r="C316" s="7">
        <v>2950.8429785341723</v>
      </c>
    </row>
    <row r="317" spans="1:3">
      <c r="A317" s="7">
        <v>293</v>
      </c>
      <c r="B317" s="7">
        <v>583200.15406645695</v>
      </c>
      <c r="C317" s="7">
        <v>-36976.454066456994</v>
      </c>
    </row>
    <row r="318" spans="1:3">
      <c r="A318" s="7">
        <v>294</v>
      </c>
      <c r="B318" s="7">
        <v>530539.38020323962</v>
      </c>
      <c r="C318" s="7">
        <v>2581.8797967603896</v>
      </c>
    </row>
    <row r="319" spans="1:3">
      <c r="A319" s="7">
        <v>295</v>
      </c>
      <c r="B319" s="7">
        <v>490330.23918437387</v>
      </c>
      <c r="C319" s="7">
        <v>8640.0808156261337</v>
      </c>
    </row>
    <row r="320" spans="1:3">
      <c r="A320" s="7">
        <v>296</v>
      </c>
      <c r="B320" s="7">
        <v>507883.83047211292</v>
      </c>
      <c r="C320" s="7">
        <v>-20145.570472112915</v>
      </c>
    </row>
    <row r="321" spans="1:3">
      <c r="A321" s="7">
        <v>297</v>
      </c>
      <c r="B321" s="7">
        <v>656768.25413824152</v>
      </c>
      <c r="C321" s="7">
        <v>11691.115861758473</v>
      </c>
    </row>
    <row r="322" spans="1:3">
      <c r="A322" s="7">
        <v>298</v>
      </c>
      <c r="B322" s="7">
        <v>657018.00035575009</v>
      </c>
      <c r="C322" s="7">
        <v>106144.44964424986</v>
      </c>
    </row>
    <row r="323" spans="1:3">
      <c r="A323" s="7">
        <v>299</v>
      </c>
      <c r="B323" s="7">
        <v>621161.5791277464</v>
      </c>
      <c r="C323" s="7">
        <v>-22144.249127746443</v>
      </c>
    </row>
    <row r="324" spans="1:3">
      <c r="A324" s="7">
        <v>300</v>
      </c>
      <c r="B324" s="7">
        <v>498571.86436215381</v>
      </c>
      <c r="C324" s="7">
        <v>-96989.28436215379</v>
      </c>
    </row>
    <row r="325" spans="1:3">
      <c r="A325" s="7">
        <v>301</v>
      </c>
      <c r="B325" s="7">
        <v>740825.69534538244</v>
      </c>
      <c r="C325" s="7">
        <v>-37012.705345382448</v>
      </c>
    </row>
    <row r="326" spans="1:3">
      <c r="A326" s="7">
        <v>302</v>
      </c>
      <c r="B326" s="7">
        <v>731442.37317327806</v>
      </c>
      <c r="C326" s="7">
        <v>-7095.6431732780766</v>
      </c>
    </row>
    <row r="327" spans="1:3">
      <c r="A327" s="7">
        <v>303</v>
      </c>
      <c r="B327" s="7">
        <v>741396.54384254478</v>
      </c>
      <c r="C327" s="7">
        <v>-10506.53384254477</v>
      </c>
    </row>
    <row r="328" spans="1:3">
      <c r="A328" s="7">
        <v>304</v>
      </c>
      <c r="B328" s="7">
        <v>738363.9112013703</v>
      </c>
      <c r="C328" s="7">
        <v>42217.038798629656</v>
      </c>
    </row>
    <row r="329" spans="1:3">
      <c r="A329" s="7">
        <v>305</v>
      </c>
      <c r="B329" s="7">
        <v>679530.8379625862</v>
      </c>
      <c r="C329" s="7">
        <v>48426.642037413782</v>
      </c>
    </row>
    <row r="330" spans="1:3">
      <c r="A330" s="7">
        <v>306</v>
      </c>
      <c r="B330" s="7">
        <v>653485.87527955859</v>
      </c>
      <c r="C330" s="7">
        <v>-115109.87527955859</v>
      </c>
    </row>
    <row r="331" spans="1:3">
      <c r="A331" s="7">
        <v>307</v>
      </c>
      <c r="B331" s="7">
        <v>671217.85672266094</v>
      </c>
      <c r="C331" s="7">
        <v>-5875.3667226609541</v>
      </c>
    </row>
    <row r="332" spans="1:3">
      <c r="A332" s="7">
        <v>308</v>
      </c>
      <c r="B332" s="7">
        <v>674714.30376777973</v>
      </c>
      <c r="C332" s="7">
        <v>-23550.123767779674</v>
      </c>
    </row>
    <row r="333" spans="1:3">
      <c r="A333" s="7">
        <v>309</v>
      </c>
      <c r="B333" s="7">
        <v>651880.36388128984</v>
      </c>
      <c r="C333" s="7">
        <v>-23342.063881289796</v>
      </c>
    </row>
    <row r="334" spans="1:3">
      <c r="A334" s="7">
        <v>310</v>
      </c>
      <c r="B334" s="7">
        <v>634968.97715285828</v>
      </c>
      <c r="C334" s="7">
        <v>-98444.137152858311</v>
      </c>
    </row>
    <row r="335" spans="1:3">
      <c r="A335" s="7">
        <v>311</v>
      </c>
      <c r="B335" s="7">
        <v>640285.00378268166</v>
      </c>
      <c r="C335" s="7">
        <v>-18607.703782681609</v>
      </c>
    </row>
    <row r="336" spans="1:3">
      <c r="A336" s="7">
        <v>312</v>
      </c>
      <c r="B336" s="7">
        <v>713246.5773262314</v>
      </c>
      <c r="C336" s="7">
        <v>57882.492673768546</v>
      </c>
    </row>
    <row r="337" spans="1:3">
      <c r="A337" s="7">
        <v>313</v>
      </c>
      <c r="B337" s="7">
        <v>666329.96646570927</v>
      </c>
      <c r="C337" s="7">
        <v>35722.503534290707</v>
      </c>
    </row>
    <row r="338" spans="1:3">
      <c r="A338" s="7">
        <v>314</v>
      </c>
      <c r="B338" s="7">
        <v>730871.52467611583</v>
      </c>
      <c r="C338" s="7">
        <v>-42503.064676115871</v>
      </c>
    </row>
    <row r="339" spans="1:3">
      <c r="A339" s="7">
        <v>315</v>
      </c>
      <c r="B339" s="7">
        <v>660478.76936979615</v>
      </c>
      <c r="C339" s="7">
        <v>51897.000630203867</v>
      </c>
    </row>
    <row r="340" spans="1:3">
      <c r="A340" s="7">
        <v>316</v>
      </c>
      <c r="B340" s="7">
        <v>802013.51863496087</v>
      </c>
      <c r="C340" s="7">
        <v>42697.151365039172</v>
      </c>
    </row>
    <row r="341" spans="1:3">
      <c r="A341" s="7">
        <v>317</v>
      </c>
      <c r="B341" s="7">
        <v>647599.00015257299</v>
      </c>
      <c r="C341" s="7">
        <v>-27334.800152573036</v>
      </c>
    </row>
    <row r="342" spans="1:3">
      <c r="A342" s="7">
        <v>318</v>
      </c>
      <c r="B342" s="7">
        <v>570070.63863172522</v>
      </c>
      <c r="C342" s="7">
        <v>-33225.218631725176</v>
      </c>
    </row>
    <row r="343" spans="1:3">
      <c r="A343" s="7">
        <v>319</v>
      </c>
      <c r="B343" s="7">
        <v>723807.27452373295</v>
      </c>
      <c r="C343" s="7">
        <v>2968.9454762670211</v>
      </c>
    </row>
    <row r="344" spans="1:3" ht="15" thickBot="1">
      <c r="A344" s="8">
        <v>320</v>
      </c>
      <c r="B344" s="8">
        <v>636110.67414718273</v>
      </c>
      <c r="C344" s="8">
        <v>-76449.834147182759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8E1D-DDD9-4556-998E-8DC1A314C7C4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D14D-F28C-468D-A5C9-917600549D4F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5196-9307-4D70-AC46-58CE8B70CC9B}">
  <dimension ref="A1:I350"/>
  <sheetViews>
    <sheetView workbookViewId="0">
      <selection sqref="A1:I24"/>
    </sheetView>
  </sheetViews>
  <sheetFormatPr defaultRowHeight="14.4"/>
  <cols>
    <col min="1" max="1" width="22.21875" bestFit="1" customWidth="1"/>
    <col min="2" max="2" width="21.44140625" bestFit="1" customWidth="1"/>
    <col min="3" max="3" width="13.44140625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9">
      <c r="A1" t="s">
        <v>113</v>
      </c>
    </row>
    <row r="2" spans="1:9" ht="15" thickBot="1"/>
    <row r="3" spans="1:9">
      <c r="A3" s="10" t="s">
        <v>114</v>
      </c>
      <c r="B3" s="10"/>
    </row>
    <row r="4" spans="1:9">
      <c r="A4" s="7" t="s">
        <v>115</v>
      </c>
      <c r="B4" s="7">
        <v>0.90243979233711691</v>
      </c>
    </row>
    <row r="5" spans="1:9">
      <c r="A5" s="7" t="s">
        <v>116</v>
      </c>
      <c r="B5" s="7">
        <v>0.81439757879345875</v>
      </c>
    </row>
    <row r="6" spans="1:9">
      <c r="A6" s="7" t="s">
        <v>117</v>
      </c>
      <c r="B6" s="7">
        <v>0.81023342190741454</v>
      </c>
    </row>
    <row r="7" spans="1:9">
      <c r="A7" s="7" t="s">
        <v>118</v>
      </c>
      <c r="B7" s="7">
        <v>45205.216276651823</v>
      </c>
    </row>
    <row r="8" spans="1:9" ht="15" thickBot="1">
      <c r="A8" s="8" t="s">
        <v>119</v>
      </c>
      <c r="B8" s="8">
        <v>320</v>
      </c>
    </row>
    <row r="10" spans="1:9" ht="15" thickBot="1">
      <c r="A10" t="s">
        <v>120</v>
      </c>
    </row>
    <row r="11" spans="1:9">
      <c r="A11" s="9"/>
      <c r="B11" s="9" t="s">
        <v>123</v>
      </c>
      <c r="C11" s="9" t="s">
        <v>124</v>
      </c>
      <c r="D11" s="9" t="s">
        <v>125</v>
      </c>
      <c r="E11" s="9" t="s">
        <v>126</v>
      </c>
      <c r="F11" s="9" t="s">
        <v>127</v>
      </c>
    </row>
    <row r="12" spans="1:9">
      <c r="A12" s="7" t="s">
        <v>121</v>
      </c>
      <c r="B12" s="7">
        <v>7</v>
      </c>
      <c r="C12" s="7">
        <v>2797593004261.6528</v>
      </c>
      <c r="D12" s="7">
        <v>399656143465.95038</v>
      </c>
      <c r="E12" s="7">
        <v>195.57322192226724</v>
      </c>
      <c r="F12" s="7">
        <v>4.4776782293590089E-110</v>
      </c>
    </row>
    <row r="13" spans="1:9">
      <c r="A13" s="7" t="s">
        <v>13</v>
      </c>
      <c r="B13" s="7">
        <v>312</v>
      </c>
      <c r="C13" s="7">
        <v>637575612529.08655</v>
      </c>
      <c r="D13" s="7">
        <v>2043511578.6188672</v>
      </c>
      <c r="E13" s="7"/>
      <c r="F13" s="7"/>
    </row>
    <row r="14" spans="1:9" ht="15" thickBot="1">
      <c r="A14" s="8" t="s">
        <v>122</v>
      </c>
      <c r="B14" s="8">
        <v>319</v>
      </c>
      <c r="C14" s="8">
        <v>3435168616790.7393</v>
      </c>
      <c r="D14" s="8"/>
      <c r="E14" s="8"/>
      <c r="F14" s="8"/>
    </row>
    <row r="15" spans="1:9" ht="15" thickBot="1"/>
    <row r="16" spans="1:9">
      <c r="A16" s="9"/>
      <c r="B16" s="9" t="s">
        <v>128</v>
      </c>
      <c r="C16" s="9" t="s">
        <v>118</v>
      </c>
      <c r="D16" s="9" t="s">
        <v>129</v>
      </c>
      <c r="E16" s="9" t="s">
        <v>130</v>
      </c>
      <c r="F16" s="9" t="s">
        <v>131</v>
      </c>
      <c r="G16" s="9" t="s">
        <v>132</v>
      </c>
      <c r="H16" s="9" t="s">
        <v>133</v>
      </c>
      <c r="I16" s="9" t="s">
        <v>134</v>
      </c>
    </row>
    <row r="17" spans="1:9">
      <c r="A17" s="7" t="s">
        <v>11</v>
      </c>
      <c r="B17" s="7">
        <v>89288.890336068434</v>
      </c>
      <c r="C17" s="7">
        <v>49612.4691039483</v>
      </c>
      <c r="D17" s="7">
        <v>1.7997268015222119</v>
      </c>
      <c r="E17" s="7">
        <v>7.2869787390789476E-2</v>
      </c>
      <c r="F17" s="7">
        <v>-8328.4300996190286</v>
      </c>
      <c r="G17" s="7">
        <v>186906.2107717559</v>
      </c>
      <c r="H17" s="7">
        <v>-8328.4300996190286</v>
      </c>
      <c r="I17" s="7">
        <v>186906.2107717559</v>
      </c>
    </row>
    <row r="18" spans="1:9">
      <c r="A18" s="7" t="s">
        <v>17</v>
      </c>
      <c r="B18" s="7">
        <v>1.2024495475308459</v>
      </c>
      <c r="C18" s="7">
        <v>0.13106703271446335</v>
      </c>
      <c r="D18" s="7">
        <v>9.1743096843463867</v>
      </c>
      <c r="E18" s="7">
        <v>6.3802068405186807E-18</v>
      </c>
      <c r="F18" s="7">
        <v>0.94456251303885996</v>
      </c>
      <c r="G18" s="7">
        <v>1.4603365820228318</v>
      </c>
      <c r="H18" s="7">
        <v>0.94456251303885996</v>
      </c>
      <c r="I18" s="7">
        <v>1.4603365820228318</v>
      </c>
    </row>
    <row r="19" spans="1:9">
      <c r="A19" s="7" t="s">
        <v>18</v>
      </c>
      <c r="B19" s="7">
        <v>33.984265705693666</v>
      </c>
      <c r="C19" s="7">
        <v>1.0499748129205833</v>
      </c>
      <c r="D19" s="7">
        <v>32.366743742322633</v>
      </c>
      <c r="E19" s="7">
        <v>9.6913374461340754E-102</v>
      </c>
      <c r="F19" s="7">
        <v>31.91833894144575</v>
      </c>
      <c r="G19" s="7">
        <v>36.050192469941578</v>
      </c>
      <c r="H19" s="7">
        <v>31.91833894144575</v>
      </c>
      <c r="I19" s="7">
        <v>36.050192469941578</v>
      </c>
    </row>
    <row r="20" spans="1:9">
      <c r="A20" s="7" t="s">
        <v>21</v>
      </c>
      <c r="B20" s="7">
        <v>2887.0420764247551</v>
      </c>
      <c r="C20" s="7">
        <v>475.7176272396382</v>
      </c>
      <c r="D20" s="7">
        <v>6.0688145889755631</v>
      </c>
      <c r="E20" s="7">
        <v>3.7321491064473148E-9</v>
      </c>
      <c r="F20" s="7">
        <v>1951.0217393224239</v>
      </c>
      <c r="G20" s="7">
        <v>3823.0624135270864</v>
      </c>
      <c r="H20" s="7">
        <v>1951.0217393224239</v>
      </c>
      <c r="I20" s="7">
        <v>3823.0624135270864</v>
      </c>
    </row>
    <row r="21" spans="1:9">
      <c r="A21" s="7" t="s">
        <v>24</v>
      </c>
      <c r="B21" s="7">
        <v>11104.990194196751</v>
      </c>
      <c r="C21" s="7">
        <v>4943.6649528596099</v>
      </c>
      <c r="D21" s="7">
        <v>2.2463072032770319</v>
      </c>
      <c r="E21" s="7">
        <v>2.5383618252419998E-2</v>
      </c>
      <c r="F21" s="7">
        <v>1377.8523486915237</v>
      </c>
      <c r="G21" s="7">
        <v>20832.12803970198</v>
      </c>
      <c r="H21" s="7">
        <v>1377.8523486915237</v>
      </c>
      <c r="I21" s="7">
        <v>20832.12803970198</v>
      </c>
    </row>
    <row r="22" spans="1:9">
      <c r="A22" s="7" t="s">
        <v>1</v>
      </c>
      <c r="B22" s="7">
        <v>-8661.4548631428661</v>
      </c>
      <c r="C22" s="7">
        <v>7281.4284954920386</v>
      </c>
      <c r="D22" s="7">
        <v>-1.1895268721659777</v>
      </c>
      <c r="E22" s="7">
        <v>0.23513684305761612</v>
      </c>
      <c r="F22" s="7">
        <v>-22988.368066852476</v>
      </c>
      <c r="G22" s="7">
        <v>5665.4583405667436</v>
      </c>
      <c r="H22" s="7">
        <v>-22988.368066852476</v>
      </c>
      <c r="I22" s="7">
        <v>5665.4583405667436</v>
      </c>
    </row>
    <row r="23" spans="1:9">
      <c r="A23" s="7" t="s">
        <v>2</v>
      </c>
      <c r="B23" s="7">
        <v>13316.407669217579</v>
      </c>
      <c r="C23" s="7">
        <v>8181.709307689458</v>
      </c>
      <c r="D23" s="7">
        <v>1.6275825953266698</v>
      </c>
      <c r="E23" s="7">
        <v>0.10462282044377173</v>
      </c>
      <c r="F23" s="7">
        <v>-2781.8949072370888</v>
      </c>
      <c r="G23" s="7">
        <v>29414.710245672246</v>
      </c>
      <c r="H23" s="7">
        <v>-2781.8949072370888</v>
      </c>
      <c r="I23" s="7">
        <v>29414.710245672246</v>
      </c>
    </row>
    <row r="24" spans="1:9" ht="15" thickBot="1">
      <c r="A24" s="8" t="s">
        <v>3</v>
      </c>
      <c r="B24" s="8">
        <v>8380.7685030130615</v>
      </c>
      <c r="C24" s="8">
        <v>7392.4934221807907</v>
      </c>
      <c r="D24" s="8">
        <v>1.1336862983018696</v>
      </c>
      <c r="E24" s="8">
        <v>0.25779650602647253</v>
      </c>
      <c r="F24" s="8">
        <v>-6164.6756614319675</v>
      </c>
      <c r="G24" s="8">
        <v>22926.21266745809</v>
      </c>
      <c r="H24" s="8">
        <v>-6164.6756614319675</v>
      </c>
      <c r="I24" s="8">
        <v>22926.21266745809</v>
      </c>
    </row>
    <row r="28" spans="1:9">
      <c r="A28" t="s">
        <v>135</v>
      </c>
    </row>
    <row r="29" spans="1:9" ht="15" thickBot="1"/>
    <row r="30" spans="1:9">
      <c r="A30" s="9" t="s">
        <v>136</v>
      </c>
      <c r="B30" s="9" t="s">
        <v>137</v>
      </c>
      <c r="C30" s="9" t="s">
        <v>138</v>
      </c>
    </row>
    <row r="31" spans="1:9">
      <c r="A31" s="7">
        <v>1</v>
      </c>
      <c r="B31" s="7">
        <v>698357.78816605988</v>
      </c>
      <c r="C31" s="7">
        <v>-39525.168166059884</v>
      </c>
    </row>
    <row r="32" spans="1:9">
      <c r="A32" s="7">
        <v>2</v>
      </c>
      <c r="B32" s="7">
        <v>696513.04881087958</v>
      </c>
      <c r="C32" s="7">
        <v>-62077.048810879583</v>
      </c>
    </row>
    <row r="33" spans="1:3">
      <c r="A33" s="7">
        <v>3</v>
      </c>
      <c r="B33" s="7">
        <v>751974.60137047654</v>
      </c>
      <c r="C33" s="7">
        <v>-73252.54137047648</v>
      </c>
    </row>
    <row r="34" spans="1:3">
      <c r="A34" s="7">
        <v>4</v>
      </c>
      <c r="B34" s="7">
        <v>758141.19746253139</v>
      </c>
      <c r="C34" s="7">
        <v>-99220.897462531342</v>
      </c>
    </row>
    <row r="35" spans="1:3">
      <c r="A35" s="7">
        <v>5</v>
      </c>
      <c r="B35" s="7">
        <v>791637.27417122771</v>
      </c>
      <c r="C35" s="7">
        <v>-50295.834171227762</v>
      </c>
    </row>
    <row r="36" spans="1:3">
      <c r="A36" s="7">
        <v>6</v>
      </c>
      <c r="B36" s="7">
        <v>781063.47705309524</v>
      </c>
      <c r="C36" s="7">
        <v>-19228.13705309527</v>
      </c>
    </row>
    <row r="37" spans="1:3">
      <c r="A37" s="7">
        <v>7</v>
      </c>
      <c r="B37" s="7">
        <v>788480.18695450469</v>
      </c>
      <c r="C37" s="7">
        <v>18135.353045495343</v>
      </c>
    </row>
    <row r="38" spans="1:3">
      <c r="A38" s="7">
        <v>8</v>
      </c>
      <c r="B38" s="7">
        <v>773026.48107607395</v>
      </c>
      <c r="C38" s="7">
        <v>77137.77892392606</v>
      </c>
    </row>
    <row r="39" spans="1:3">
      <c r="A39" s="7">
        <v>9</v>
      </c>
      <c r="B39" s="7">
        <v>846775.63893019187</v>
      </c>
      <c r="C39" s="7">
        <v>83806.061069808085</v>
      </c>
    </row>
    <row r="40" spans="1:3">
      <c r="A40" s="7">
        <v>10</v>
      </c>
      <c r="B40" s="7">
        <v>784712.61905767536</v>
      </c>
      <c r="C40" s="7">
        <v>-5701.6790576754138</v>
      </c>
    </row>
    <row r="41" spans="1:3">
      <c r="A41" s="7">
        <v>11</v>
      </c>
      <c r="B41" s="7">
        <v>739343.58872644429</v>
      </c>
      <c r="C41" s="7">
        <v>-16282.828726444277</v>
      </c>
    </row>
    <row r="42" spans="1:3">
      <c r="A42" s="7">
        <v>12</v>
      </c>
      <c r="B42" s="7">
        <v>841138.22201518877</v>
      </c>
      <c r="C42" s="7">
        <v>69653.71798481117</v>
      </c>
    </row>
    <row r="43" spans="1:3">
      <c r="A43" s="7">
        <v>13</v>
      </c>
      <c r="B43" s="7">
        <v>883658.58505961881</v>
      </c>
      <c r="C43" s="7">
        <v>38510.014940381167</v>
      </c>
    </row>
    <row r="44" spans="1:3">
      <c r="A44" s="7">
        <v>14</v>
      </c>
      <c r="B44" s="7">
        <v>782163.23800033482</v>
      </c>
      <c r="C44" s="7">
        <v>-55556.958000334795</v>
      </c>
    </row>
    <row r="45" spans="1:3">
      <c r="A45" s="7">
        <v>15</v>
      </c>
      <c r="B45" s="7">
        <v>759076.43633892958</v>
      </c>
      <c r="C45" s="7">
        <v>-12575.346338929608</v>
      </c>
    </row>
    <row r="46" spans="1:3">
      <c r="A46" s="7">
        <v>16</v>
      </c>
      <c r="B46" s="7">
        <v>813797.79392958246</v>
      </c>
      <c r="C46" s="7">
        <v>20219.226070417557</v>
      </c>
    </row>
    <row r="47" spans="1:3">
      <c r="A47" s="7">
        <v>17</v>
      </c>
      <c r="B47" s="7">
        <v>695398.927167941</v>
      </c>
      <c r="C47" s="7">
        <v>-29246.407167940983</v>
      </c>
    </row>
    <row r="48" spans="1:3">
      <c r="A48" s="7">
        <v>18</v>
      </c>
      <c r="B48" s="7">
        <v>611449.36540854874</v>
      </c>
      <c r="C48" s="7">
        <v>-38294.175408548792</v>
      </c>
    </row>
    <row r="49" spans="1:3">
      <c r="A49" s="7">
        <v>19</v>
      </c>
      <c r="B49" s="7">
        <v>700580.7272077041</v>
      </c>
      <c r="C49" s="7">
        <v>-34007.527207704145</v>
      </c>
    </row>
    <row r="50" spans="1:3">
      <c r="A50" s="7">
        <v>20</v>
      </c>
      <c r="B50" s="7">
        <v>617116.35676588351</v>
      </c>
      <c r="C50" s="7">
        <v>-25496.406765883556</v>
      </c>
    </row>
    <row r="51" spans="1:3">
      <c r="A51" s="7">
        <v>21</v>
      </c>
      <c r="B51" s="7">
        <v>522040.50236005866</v>
      </c>
      <c r="C51" s="7">
        <v>-106318.68236005865</v>
      </c>
    </row>
    <row r="52" spans="1:3">
      <c r="A52" s="7">
        <v>22</v>
      </c>
      <c r="B52" s="7">
        <v>512702.45472216001</v>
      </c>
      <c r="C52" s="7">
        <v>-20797.324722160003</v>
      </c>
    </row>
    <row r="53" spans="1:3">
      <c r="A53" s="7">
        <v>23</v>
      </c>
      <c r="B53" s="7">
        <v>542256.7452619758</v>
      </c>
      <c r="C53" s="7">
        <v>13672.654738024226</v>
      </c>
    </row>
    <row r="54" spans="1:3">
      <c r="A54" s="7">
        <v>24</v>
      </c>
      <c r="B54" s="7">
        <v>570804.34174956044</v>
      </c>
      <c r="C54" s="7">
        <v>-4993.3517495604465</v>
      </c>
    </row>
    <row r="55" spans="1:3">
      <c r="A55" s="7">
        <v>25</v>
      </c>
      <c r="B55" s="7">
        <v>826857.29912914219</v>
      </c>
      <c r="C55" s="7">
        <v>-15086.159129142179</v>
      </c>
    </row>
    <row r="56" spans="1:3">
      <c r="A56" s="7">
        <v>26</v>
      </c>
      <c r="B56" s="7">
        <v>900540.65155028563</v>
      </c>
      <c r="C56" s="7">
        <v>-100088.71155028569</v>
      </c>
    </row>
    <row r="57" spans="1:3">
      <c r="A57" s="7">
        <v>27</v>
      </c>
      <c r="B57" s="7">
        <v>790432.23325363453</v>
      </c>
      <c r="C57" s="7">
        <v>-6759.413253634586</v>
      </c>
    </row>
    <row r="58" spans="1:3">
      <c r="A58" s="7">
        <v>28</v>
      </c>
      <c r="B58" s="7">
        <v>690702.66472784244</v>
      </c>
      <c r="C58" s="7">
        <v>10939.305272157537</v>
      </c>
    </row>
    <row r="59" spans="1:3">
      <c r="A59" s="7">
        <v>29</v>
      </c>
      <c r="B59" s="7">
        <v>584022.01278177986</v>
      </c>
      <c r="C59" s="7">
        <v>-72177.602781779889</v>
      </c>
    </row>
    <row r="60" spans="1:3">
      <c r="A60" s="7">
        <v>30</v>
      </c>
      <c r="B60" s="7">
        <v>524858.31220168783</v>
      </c>
      <c r="C60" s="7">
        <v>12525.477798312204</v>
      </c>
    </row>
    <row r="61" spans="1:3">
      <c r="A61" s="7">
        <v>31</v>
      </c>
      <c r="B61" s="7">
        <v>512670.15799345705</v>
      </c>
      <c r="C61" s="7">
        <v>-12497.137993457029</v>
      </c>
    </row>
    <row r="62" spans="1:3">
      <c r="A62" s="7">
        <v>32</v>
      </c>
      <c r="B62" s="7">
        <v>497099.84331060317</v>
      </c>
      <c r="C62" s="7">
        <v>-69182.463310603169</v>
      </c>
    </row>
    <row r="63" spans="1:3">
      <c r="A63" s="7">
        <v>33</v>
      </c>
      <c r="B63" s="7">
        <v>762509.2314365285</v>
      </c>
      <c r="C63" s="7">
        <v>-120644.20143652847</v>
      </c>
    </row>
    <row r="64" spans="1:3">
      <c r="A64" s="7">
        <v>34</v>
      </c>
      <c r="B64" s="7">
        <v>863283.80319468642</v>
      </c>
      <c r="C64" s="7">
        <v>-63806.043194686412</v>
      </c>
    </row>
    <row r="65" spans="1:3">
      <c r="A65" s="7">
        <v>35</v>
      </c>
      <c r="B65" s="7">
        <v>804649.19424359105</v>
      </c>
      <c r="C65" s="7">
        <v>-5697.0242435910041</v>
      </c>
    </row>
    <row r="66" spans="1:3">
      <c r="A66" s="7">
        <v>36</v>
      </c>
      <c r="B66" s="7">
        <v>833430.63551205629</v>
      </c>
      <c r="C66" s="7">
        <v>-32450.855512056267</v>
      </c>
    </row>
    <row r="67" spans="1:3">
      <c r="A67" s="7">
        <v>37</v>
      </c>
      <c r="B67" s="7">
        <v>766704.20713371807</v>
      </c>
      <c r="C67" s="7">
        <v>53889.722866281983</v>
      </c>
    </row>
    <row r="68" spans="1:3">
      <c r="A68" s="7">
        <v>38</v>
      </c>
      <c r="B68" s="7">
        <v>750514.24861235451</v>
      </c>
      <c r="C68" s="7">
        <v>-32183.718612354482</v>
      </c>
    </row>
    <row r="69" spans="1:3">
      <c r="A69" s="7">
        <v>39</v>
      </c>
      <c r="B69" s="7">
        <v>742319.91034978349</v>
      </c>
      <c r="C69" s="7">
        <v>-5686.5103497834643</v>
      </c>
    </row>
    <row r="70" spans="1:3">
      <c r="A70" s="7">
        <v>40</v>
      </c>
      <c r="B70" s="7">
        <v>819638.94987930672</v>
      </c>
      <c r="C70" s="7">
        <v>8984.9001206932589</v>
      </c>
    </row>
    <row r="71" spans="1:3">
      <c r="A71" s="7">
        <v>41</v>
      </c>
      <c r="B71" s="7">
        <v>577372.85438063461</v>
      </c>
      <c r="C71" s="7">
        <v>14822.995619365363</v>
      </c>
    </row>
    <row r="72" spans="1:3">
      <c r="A72" s="7">
        <v>42</v>
      </c>
      <c r="B72" s="7">
        <v>512301.22895845829</v>
      </c>
      <c r="C72" s="7">
        <v>20343.231041541672</v>
      </c>
    </row>
    <row r="73" spans="1:3">
      <c r="A73" s="7">
        <v>43</v>
      </c>
      <c r="B73" s="7">
        <v>575731.44733151968</v>
      </c>
      <c r="C73" s="7">
        <v>81697.73266848037</v>
      </c>
    </row>
    <row r="74" spans="1:3">
      <c r="A74" s="7">
        <v>44</v>
      </c>
      <c r="B74" s="7">
        <v>582538.88418461464</v>
      </c>
      <c r="C74" s="7">
        <v>22639.115815385361</v>
      </c>
    </row>
    <row r="75" spans="1:3">
      <c r="A75" s="7">
        <v>45</v>
      </c>
      <c r="B75" s="7">
        <v>729658.53082863335</v>
      </c>
      <c r="C75" s="7">
        <v>-134190.93082863337</v>
      </c>
    </row>
    <row r="76" spans="1:3">
      <c r="A76" s="7">
        <v>46</v>
      </c>
      <c r="B76" s="7">
        <v>649281.41552543733</v>
      </c>
      <c r="C76" s="7">
        <v>-49678.015525437309</v>
      </c>
    </row>
    <row r="77" spans="1:3">
      <c r="A77" s="7">
        <v>47</v>
      </c>
      <c r="B77" s="7">
        <v>585088.86325127201</v>
      </c>
      <c r="C77" s="7">
        <v>29711.226748727961</v>
      </c>
    </row>
    <row r="78" spans="1:3">
      <c r="A78" s="7">
        <v>48</v>
      </c>
      <c r="B78" s="7">
        <v>577443.4465521411</v>
      </c>
      <c r="C78" s="7">
        <v>7922.2834478588775</v>
      </c>
    </row>
    <row r="79" spans="1:3">
      <c r="A79" s="7">
        <v>49</v>
      </c>
      <c r="B79" s="7">
        <v>651910.29827333777</v>
      </c>
      <c r="C79" s="7">
        <v>-29098.558273337781</v>
      </c>
    </row>
    <row r="80" spans="1:3">
      <c r="A80" s="7">
        <v>50</v>
      </c>
      <c r="B80" s="7">
        <v>594044.48143160937</v>
      </c>
      <c r="C80" s="7">
        <v>9253.0885683905799</v>
      </c>
    </row>
    <row r="81" spans="1:3">
      <c r="A81" s="7">
        <v>51</v>
      </c>
      <c r="B81" s="7">
        <v>604462.2009225639</v>
      </c>
      <c r="C81" s="7">
        <v>21210.659077436081</v>
      </c>
    </row>
    <row r="82" spans="1:3">
      <c r="A82" s="7">
        <v>52</v>
      </c>
      <c r="B82" s="7">
        <v>733735.54799721774</v>
      </c>
      <c r="C82" s="7">
        <v>40079.592002782272</v>
      </c>
    </row>
    <row r="83" spans="1:3">
      <c r="A83" s="7">
        <v>53</v>
      </c>
      <c r="B83" s="7">
        <v>559539.59077716491</v>
      </c>
      <c r="C83" s="7">
        <v>-96005.340777164907</v>
      </c>
    </row>
    <row r="84" spans="1:3">
      <c r="A84" s="7">
        <v>54</v>
      </c>
      <c r="B84" s="7">
        <v>726102.57527469192</v>
      </c>
      <c r="C84" s="7">
        <v>20575.174725308083</v>
      </c>
    </row>
    <row r="85" spans="1:3">
      <c r="A85" s="7">
        <v>55</v>
      </c>
      <c r="B85" s="7">
        <v>684571.52126865298</v>
      </c>
      <c r="C85" s="7">
        <v>36280.978731347015</v>
      </c>
    </row>
    <row r="86" spans="1:3">
      <c r="A86" s="7">
        <v>56</v>
      </c>
      <c r="B86" s="7">
        <v>531748.36726288602</v>
      </c>
      <c r="C86" s="7">
        <v>-44283.457262886048</v>
      </c>
    </row>
    <row r="87" spans="1:3">
      <c r="A87" s="7">
        <v>57</v>
      </c>
      <c r="B87" s="7">
        <v>497286.58148072817</v>
      </c>
      <c r="C87" s="7">
        <v>20762.678519271838</v>
      </c>
    </row>
    <row r="88" spans="1:3">
      <c r="A88" s="7">
        <v>58</v>
      </c>
      <c r="B88" s="7">
        <v>498033.85828631674</v>
      </c>
      <c r="C88" s="7">
        <v>2264.621713683242</v>
      </c>
    </row>
    <row r="89" spans="1:3">
      <c r="A89" s="7">
        <v>59</v>
      </c>
      <c r="B89" s="7">
        <v>646182.83947250736</v>
      </c>
      <c r="C89" s="7">
        <v>-28891.689472507336</v>
      </c>
    </row>
    <row r="90" spans="1:3">
      <c r="A90" s="7">
        <v>60</v>
      </c>
      <c r="B90" s="7">
        <v>583266.21677478903</v>
      </c>
      <c r="C90" s="7">
        <v>-29509.786774788983</v>
      </c>
    </row>
    <row r="91" spans="1:3">
      <c r="A91" s="7">
        <v>61</v>
      </c>
      <c r="B91" s="7">
        <v>690088.56472188071</v>
      </c>
      <c r="C91" s="7">
        <v>59471.145278119249</v>
      </c>
    </row>
    <row r="92" spans="1:3">
      <c r="A92" s="7">
        <v>62</v>
      </c>
      <c r="B92" s="7">
        <v>572856.51859278115</v>
      </c>
      <c r="C92" s="7">
        <v>43109.961407218827</v>
      </c>
    </row>
    <row r="93" spans="1:3">
      <c r="A93" s="7">
        <v>63</v>
      </c>
      <c r="B93" s="7">
        <v>586537.04550016264</v>
      </c>
      <c r="C93" s="7">
        <v>-14525.845500162686</v>
      </c>
    </row>
    <row r="94" spans="1:3">
      <c r="A94" s="7">
        <v>64</v>
      </c>
      <c r="B94" s="7">
        <v>719587.10435587622</v>
      </c>
      <c r="C94" s="7">
        <v>42273.085644123727</v>
      </c>
    </row>
    <row r="95" spans="1:3">
      <c r="A95" s="7">
        <v>65</v>
      </c>
      <c r="B95" s="7">
        <v>806009.90388550423</v>
      </c>
      <c r="C95" s="7">
        <v>-21507.22388550418</v>
      </c>
    </row>
    <row r="96" spans="1:3">
      <c r="A96" s="7">
        <v>66</v>
      </c>
      <c r="B96" s="7">
        <v>738347.43811912264</v>
      </c>
      <c r="C96" s="7">
        <v>-21205.888119122596</v>
      </c>
    </row>
    <row r="97" spans="1:3">
      <c r="A97" s="7">
        <v>67</v>
      </c>
      <c r="B97" s="7">
        <v>841632.98528431787</v>
      </c>
      <c r="C97" s="7">
        <v>-156253.90528431791</v>
      </c>
    </row>
    <row r="98" spans="1:3">
      <c r="A98" s="7">
        <v>68</v>
      </c>
      <c r="B98" s="7">
        <v>732915.56247754779</v>
      </c>
      <c r="C98" s="7">
        <v>7581.0875224522315</v>
      </c>
    </row>
    <row r="99" spans="1:3">
      <c r="A99" s="7">
        <v>69</v>
      </c>
      <c r="B99" s="7">
        <v>581403.83106099127</v>
      </c>
      <c r="C99" s="7">
        <v>80523.308939008741</v>
      </c>
    </row>
    <row r="100" spans="1:3">
      <c r="A100" s="7">
        <v>70</v>
      </c>
      <c r="B100" s="7">
        <v>494011.67027080507</v>
      </c>
      <c r="C100" s="7">
        <v>-14961.170270805073</v>
      </c>
    </row>
    <row r="101" spans="1:3">
      <c r="A101" s="7">
        <v>71</v>
      </c>
      <c r="B101" s="7">
        <v>583326.88761080557</v>
      </c>
      <c r="C101" s="7">
        <v>21696.982389194425</v>
      </c>
    </row>
    <row r="102" spans="1:3">
      <c r="A102" s="7">
        <v>72</v>
      </c>
      <c r="B102" s="7">
        <v>626190.61719319643</v>
      </c>
      <c r="C102" s="7">
        <v>48583.472806803533</v>
      </c>
    </row>
    <row r="103" spans="1:3">
      <c r="A103" s="7">
        <v>73</v>
      </c>
      <c r="B103" s="7">
        <v>614772.61608764122</v>
      </c>
      <c r="C103" s="7">
        <v>1296.7939123588149</v>
      </c>
    </row>
    <row r="104" spans="1:3">
      <c r="A104" s="7">
        <v>74</v>
      </c>
      <c r="B104" s="7">
        <v>699057.44796364661</v>
      </c>
      <c r="C104" s="7">
        <v>-68227.507963646669</v>
      </c>
    </row>
    <row r="105" spans="1:3">
      <c r="A105" s="7">
        <v>75</v>
      </c>
      <c r="B105" s="7">
        <v>712804.98198871792</v>
      </c>
      <c r="C105" s="7">
        <v>75282.698011282133</v>
      </c>
    </row>
    <row r="106" spans="1:3">
      <c r="A106" s="7">
        <v>76</v>
      </c>
      <c r="B106" s="7">
        <v>727657.50287268881</v>
      </c>
      <c r="C106" s="7">
        <v>-46817.142872688826</v>
      </c>
    </row>
    <row r="107" spans="1:3">
      <c r="A107" s="7">
        <v>77</v>
      </c>
      <c r="B107" s="7">
        <v>657374.98860864376</v>
      </c>
      <c r="C107" s="7">
        <v>-13717.51860864379</v>
      </c>
    </row>
    <row r="108" spans="1:3">
      <c r="A108" s="7">
        <v>78</v>
      </c>
      <c r="B108" s="7">
        <v>649959.15261321783</v>
      </c>
      <c r="C108" s="7">
        <v>41153.447386782151</v>
      </c>
    </row>
    <row r="109" spans="1:3">
      <c r="A109" s="7">
        <v>79</v>
      </c>
      <c r="B109" s="7">
        <v>731054.95828144753</v>
      </c>
      <c r="C109" s="7">
        <v>45867.211718552513</v>
      </c>
    </row>
    <row r="110" spans="1:3">
      <c r="A110" s="7">
        <v>80</v>
      </c>
      <c r="B110" s="7">
        <v>669670.73522831348</v>
      </c>
      <c r="C110" s="7">
        <v>-33109.395228313515</v>
      </c>
    </row>
    <row r="111" spans="1:3">
      <c r="A111" s="7">
        <v>81</v>
      </c>
      <c r="B111" s="7">
        <v>648036.66433994716</v>
      </c>
      <c r="C111" s="7">
        <v>-26667.084339947207</v>
      </c>
    </row>
    <row r="112" spans="1:3">
      <c r="A112" s="7">
        <v>82</v>
      </c>
      <c r="B112" s="7">
        <v>631598.11853461526</v>
      </c>
      <c r="C112" s="7">
        <v>50609.891465384746</v>
      </c>
    </row>
    <row r="113" spans="1:3">
      <c r="A113" s="7">
        <v>83</v>
      </c>
      <c r="B113" s="7">
        <v>645492.43491062673</v>
      </c>
      <c r="C113" s="7">
        <v>81749.425089373253</v>
      </c>
    </row>
    <row r="114" spans="1:3">
      <c r="A114" s="7">
        <v>84</v>
      </c>
      <c r="B114" s="7">
        <v>550477.53787574742</v>
      </c>
      <c r="C114" s="7">
        <v>18623.242124252603</v>
      </c>
    </row>
    <row r="115" spans="1:3">
      <c r="A115" s="7">
        <v>85</v>
      </c>
      <c r="B115" s="7">
        <v>570284.27722170751</v>
      </c>
      <c r="C115" s="7">
        <v>4152.0127782925265</v>
      </c>
    </row>
    <row r="116" spans="1:3">
      <c r="A116" s="7">
        <v>86</v>
      </c>
      <c r="B116" s="7">
        <v>648720.45852390351</v>
      </c>
      <c r="C116" s="7">
        <v>-36953.738523903536</v>
      </c>
    </row>
    <row r="117" spans="1:3">
      <c r="A117" s="7">
        <v>87</v>
      </c>
      <c r="B117" s="7">
        <v>623726.66371285974</v>
      </c>
      <c r="C117" s="7">
        <v>-9130.343712859787</v>
      </c>
    </row>
    <row r="118" spans="1:3">
      <c r="A118" s="7">
        <v>88</v>
      </c>
      <c r="B118" s="7">
        <v>463855.34031341062</v>
      </c>
      <c r="C118" s="7">
        <v>-13143.420313410636</v>
      </c>
    </row>
    <row r="119" spans="1:3">
      <c r="A119" s="7">
        <v>89</v>
      </c>
      <c r="B119" s="7">
        <v>676240.24666631606</v>
      </c>
      <c r="C119" s="7">
        <v>34973.213333683903</v>
      </c>
    </row>
    <row r="120" spans="1:3">
      <c r="A120" s="7">
        <v>90</v>
      </c>
      <c r="B120" s="7">
        <v>757460.50700675556</v>
      </c>
      <c r="C120" s="7">
        <v>-130288.60700675554</v>
      </c>
    </row>
    <row r="121" spans="1:3">
      <c r="A121" s="7">
        <v>91</v>
      </c>
      <c r="B121" s="7">
        <v>722067.57308995386</v>
      </c>
      <c r="C121" s="7">
        <v>17785.006910046097</v>
      </c>
    </row>
    <row r="122" spans="1:3">
      <c r="A122" s="7">
        <v>92</v>
      </c>
      <c r="B122" s="7">
        <v>558190.44336934539</v>
      </c>
      <c r="C122" s="7">
        <v>28116.776630654582</v>
      </c>
    </row>
    <row r="123" spans="1:3">
      <c r="A123" s="7">
        <v>93</v>
      </c>
      <c r="B123" s="7">
        <v>611852.55947597453</v>
      </c>
      <c r="C123" s="7">
        <v>-25915.079475974548</v>
      </c>
    </row>
    <row r="124" spans="1:3">
      <c r="A124" s="7">
        <v>94</v>
      </c>
      <c r="B124" s="7">
        <v>711282.68420655211</v>
      </c>
      <c r="C124" s="7">
        <v>42190.865793447942</v>
      </c>
    </row>
    <row r="125" spans="1:3">
      <c r="A125" s="7">
        <v>95</v>
      </c>
      <c r="B125" s="7">
        <v>791554.09956478898</v>
      </c>
      <c r="C125" s="7">
        <v>46696.220435210969</v>
      </c>
    </row>
    <row r="126" spans="1:3">
      <c r="A126" s="7">
        <v>96</v>
      </c>
      <c r="B126" s="7">
        <v>636620.40706228791</v>
      </c>
      <c r="C126" s="7">
        <v>-28722.287062287913</v>
      </c>
    </row>
    <row r="127" spans="1:3">
      <c r="A127" s="7">
        <v>97</v>
      </c>
      <c r="B127" s="7">
        <v>700056.0694815293</v>
      </c>
      <c r="C127" s="7">
        <v>-8942.4494815293001</v>
      </c>
    </row>
    <row r="128" spans="1:3">
      <c r="A128" s="7">
        <v>98</v>
      </c>
      <c r="B128" s="7">
        <v>662948.68404880178</v>
      </c>
      <c r="C128" s="7">
        <v>72560.715951198246</v>
      </c>
    </row>
    <row r="129" spans="1:3">
      <c r="A129" s="7">
        <v>99</v>
      </c>
      <c r="B129" s="7">
        <v>611120.93776021001</v>
      </c>
      <c r="C129" s="7">
        <v>-5345.6077602100559</v>
      </c>
    </row>
    <row r="130" spans="1:3">
      <c r="A130" s="7">
        <v>100</v>
      </c>
      <c r="B130" s="7">
        <v>654979.64460342005</v>
      </c>
      <c r="C130" s="7">
        <v>20198.035396580002</v>
      </c>
    </row>
    <row r="131" spans="1:3">
      <c r="A131" s="7">
        <v>101</v>
      </c>
      <c r="B131" s="7">
        <v>580967.47945553367</v>
      </c>
      <c r="C131" s="7">
        <v>54213.870544466306</v>
      </c>
    </row>
    <row r="132" spans="1:3">
      <c r="A132" s="7">
        <v>102</v>
      </c>
      <c r="B132" s="7">
        <v>618299.16536942357</v>
      </c>
      <c r="C132" s="7">
        <v>-31672.225369423628</v>
      </c>
    </row>
    <row r="133" spans="1:3">
      <c r="A133" s="7">
        <v>103</v>
      </c>
      <c r="B133" s="7">
        <v>702398.72880047094</v>
      </c>
      <c r="C133" s="7">
        <v>37703.911199529073</v>
      </c>
    </row>
    <row r="134" spans="1:3">
      <c r="A134" s="7">
        <v>104</v>
      </c>
      <c r="B134" s="7">
        <v>522885.98576451448</v>
      </c>
      <c r="C134" s="7">
        <v>102628.05423548556</v>
      </c>
    </row>
    <row r="135" spans="1:3">
      <c r="A135" s="7">
        <v>105</v>
      </c>
      <c r="B135" s="7">
        <v>687722.42812070192</v>
      </c>
      <c r="C135" s="7">
        <v>39504.77187929803</v>
      </c>
    </row>
    <row r="136" spans="1:3">
      <c r="A136" s="7">
        <v>106</v>
      </c>
      <c r="B136" s="7">
        <v>782801.74065691885</v>
      </c>
      <c r="C136" s="7">
        <v>996.1493430811679</v>
      </c>
    </row>
    <row r="137" spans="1:3">
      <c r="A137" s="7">
        <v>107</v>
      </c>
      <c r="B137" s="7">
        <v>717583.84239979542</v>
      </c>
      <c r="C137" s="7">
        <v>77569.997600204544</v>
      </c>
    </row>
    <row r="138" spans="1:3">
      <c r="A138" s="7">
        <v>108</v>
      </c>
      <c r="B138" s="7">
        <v>663230.93940776866</v>
      </c>
      <c r="C138" s="7">
        <v>2364.0005922312848</v>
      </c>
    </row>
    <row r="139" spans="1:3">
      <c r="A139" s="7">
        <v>109</v>
      </c>
      <c r="B139" s="7">
        <v>663432.74599213351</v>
      </c>
      <c r="C139" s="7">
        <v>46045.644007866504</v>
      </c>
    </row>
    <row r="140" spans="1:3">
      <c r="A140" s="7">
        <v>110</v>
      </c>
      <c r="B140" s="7">
        <v>642695.17660133657</v>
      </c>
      <c r="C140" s="7">
        <v>21467.31339866342</v>
      </c>
    </row>
    <row r="141" spans="1:3">
      <c r="A141" s="7">
        <v>111</v>
      </c>
      <c r="B141" s="7">
        <v>641440.45622787857</v>
      </c>
      <c r="C141" s="7">
        <v>-7946.2462278786115</v>
      </c>
    </row>
    <row r="142" spans="1:3">
      <c r="A142" s="7">
        <v>112</v>
      </c>
      <c r="B142" s="7">
        <v>585753.57637612533</v>
      </c>
      <c r="C142" s="7">
        <v>127857.5836238747</v>
      </c>
    </row>
    <row r="143" spans="1:3">
      <c r="A143" s="7">
        <v>113</v>
      </c>
      <c r="B143" s="7">
        <v>731229.78340180381</v>
      </c>
      <c r="C143" s="7">
        <v>47168.18659819616</v>
      </c>
    </row>
    <row r="144" spans="1:3">
      <c r="A144" s="7">
        <v>114</v>
      </c>
      <c r="B144" s="7">
        <v>827669.89336263097</v>
      </c>
      <c r="C144" s="7">
        <v>45710.126637369045</v>
      </c>
    </row>
    <row r="145" spans="1:3">
      <c r="A145" s="7">
        <v>115</v>
      </c>
      <c r="B145" s="7">
        <v>737891.53555949754</v>
      </c>
      <c r="C145" s="7">
        <v>-40603.635559497518</v>
      </c>
    </row>
    <row r="146" spans="1:3">
      <c r="A146" s="7">
        <v>116</v>
      </c>
      <c r="B146" s="7">
        <v>746940.30512426374</v>
      </c>
      <c r="C146" s="7">
        <v>-28865.515124263708</v>
      </c>
    </row>
    <row r="147" spans="1:3">
      <c r="A147" s="7">
        <v>117</v>
      </c>
      <c r="B147" s="7">
        <v>730904.0606175107</v>
      </c>
      <c r="C147" s="7">
        <v>-15961.630617510644</v>
      </c>
    </row>
    <row r="148" spans="1:3">
      <c r="A148" s="7">
        <v>118</v>
      </c>
      <c r="B148" s="7">
        <v>748259.16641181335</v>
      </c>
      <c r="C148" s="7">
        <v>72259.873588186689</v>
      </c>
    </row>
    <row r="149" spans="1:3">
      <c r="A149" s="7">
        <v>119</v>
      </c>
      <c r="B149" s="7">
        <v>768494.81912697561</v>
      </c>
      <c r="C149" s="7">
        <v>-84277.499126975657</v>
      </c>
    </row>
    <row r="150" spans="1:3">
      <c r="A150" s="7">
        <v>120</v>
      </c>
      <c r="B150" s="7">
        <v>757871.48535058915</v>
      </c>
      <c r="C150" s="7">
        <v>-22391.295350589207</v>
      </c>
    </row>
    <row r="151" spans="1:3">
      <c r="A151" s="7">
        <v>121</v>
      </c>
      <c r="B151" s="7">
        <v>561499.59695468168</v>
      </c>
      <c r="C151" s="7">
        <v>-52014.78695468168</v>
      </c>
    </row>
    <row r="152" spans="1:3">
      <c r="A152" s="7">
        <v>122</v>
      </c>
      <c r="B152" s="7">
        <v>613873.21784537658</v>
      </c>
      <c r="C152" s="7">
        <v>40443.872154623386</v>
      </c>
    </row>
    <row r="153" spans="1:3">
      <c r="A153" s="7">
        <v>123</v>
      </c>
      <c r="B153" s="7">
        <v>588524.16988006444</v>
      </c>
      <c r="C153" s="7">
        <v>-31036.909880064428</v>
      </c>
    </row>
    <row r="154" spans="1:3">
      <c r="A154" s="7">
        <v>124</v>
      </c>
      <c r="B154" s="7">
        <v>508200.44560029067</v>
      </c>
      <c r="C154" s="7">
        <v>-66925.025600290683</v>
      </c>
    </row>
    <row r="155" spans="1:3">
      <c r="A155" s="7">
        <v>125</v>
      </c>
      <c r="B155" s="7">
        <v>837558.28426584345</v>
      </c>
      <c r="C155" s="7">
        <v>76985.885734156589</v>
      </c>
    </row>
    <row r="156" spans="1:3">
      <c r="A156" s="7">
        <v>126</v>
      </c>
      <c r="B156" s="7">
        <v>865479.22783193085</v>
      </c>
      <c r="C156" s="7">
        <v>-23039.557831930812</v>
      </c>
    </row>
    <row r="157" spans="1:3">
      <c r="A157" s="7">
        <v>127</v>
      </c>
      <c r="B157" s="7">
        <v>804982.14424621814</v>
      </c>
      <c r="C157" s="7">
        <v>37175.775753781898</v>
      </c>
    </row>
    <row r="158" spans="1:3">
      <c r="A158" s="7">
        <v>128</v>
      </c>
      <c r="B158" s="7">
        <v>716074.69124132616</v>
      </c>
      <c r="C158" s="7">
        <v>-18919.391241326113</v>
      </c>
    </row>
    <row r="159" spans="1:3">
      <c r="A159" s="7">
        <v>129</v>
      </c>
      <c r="B159" s="7">
        <v>824923.06076093111</v>
      </c>
      <c r="C159" s="7">
        <v>24095.239239068935</v>
      </c>
    </row>
    <row r="160" spans="1:3">
      <c r="A160" s="7">
        <v>130</v>
      </c>
      <c r="B160" s="7">
        <v>801833.18409759714</v>
      </c>
      <c r="C160" s="7">
        <v>-2.8340975971659645</v>
      </c>
    </row>
    <row r="161" spans="1:3">
      <c r="A161" s="7">
        <v>131</v>
      </c>
      <c r="B161" s="7">
        <v>789306.12527571281</v>
      </c>
      <c r="C161" s="7">
        <v>-64070.845275712782</v>
      </c>
    </row>
    <row r="162" spans="1:3">
      <c r="A162" s="7">
        <v>132</v>
      </c>
      <c r="B162" s="7">
        <v>824161.71767061204</v>
      </c>
      <c r="C162" s="7">
        <v>-12708.997670612065</v>
      </c>
    </row>
    <row r="163" spans="1:3">
      <c r="A163" s="7">
        <v>133</v>
      </c>
      <c r="B163" s="7">
        <v>579839.64733884693</v>
      </c>
      <c r="C163" s="7">
        <v>-52539.517338846927</v>
      </c>
    </row>
    <row r="164" spans="1:3">
      <c r="A164" s="7">
        <v>134</v>
      </c>
      <c r="B164" s="7">
        <v>454924.95601287542</v>
      </c>
      <c r="C164" s="7">
        <v>-54093.3060128754</v>
      </c>
    </row>
    <row r="165" spans="1:3">
      <c r="A165" s="7">
        <v>135</v>
      </c>
      <c r="B165" s="7">
        <v>599977.75871488708</v>
      </c>
      <c r="C165" s="7">
        <v>-6730.5087148870807</v>
      </c>
    </row>
    <row r="166" spans="1:3">
      <c r="A166" s="7">
        <v>136</v>
      </c>
      <c r="B166" s="7">
        <v>550951.81599580485</v>
      </c>
      <c r="C166" s="7">
        <v>-21875.865995804896</v>
      </c>
    </row>
    <row r="167" spans="1:3">
      <c r="A167" s="7">
        <v>137</v>
      </c>
      <c r="B167" s="7">
        <v>725220.12916453963</v>
      </c>
      <c r="C167" s="7">
        <v>-91582.099164539599</v>
      </c>
    </row>
    <row r="168" spans="1:3">
      <c r="A168" s="7">
        <v>138</v>
      </c>
      <c r="B168" s="7">
        <v>724229.25745656015</v>
      </c>
      <c r="C168" s="7">
        <v>19119.582543439814</v>
      </c>
    </row>
    <row r="169" spans="1:3">
      <c r="A169" s="7">
        <v>139</v>
      </c>
      <c r="B169" s="7">
        <v>705961.7226948624</v>
      </c>
      <c r="C169" s="7">
        <v>52865.917305137613</v>
      </c>
    </row>
    <row r="170" spans="1:3">
      <c r="A170" s="7">
        <v>140</v>
      </c>
      <c r="B170" s="7">
        <v>641303.70093719452</v>
      </c>
      <c r="C170" s="7">
        <v>5256.0090628054459</v>
      </c>
    </row>
    <row r="171" spans="1:3">
      <c r="A171" s="7">
        <v>141</v>
      </c>
      <c r="B171" s="7">
        <v>679828.68370117072</v>
      </c>
      <c r="C171" s="7">
        <v>36061.846298829303</v>
      </c>
    </row>
    <row r="172" spans="1:3">
      <c r="A172" s="7">
        <v>142</v>
      </c>
      <c r="B172" s="7">
        <v>699060.24676461332</v>
      </c>
      <c r="C172" s="7">
        <v>16037.323235386633</v>
      </c>
    </row>
    <row r="173" spans="1:3">
      <c r="A173" s="7">
        <v>143</v>
      </c>
      <c r="B173" s="7">
        <v>640162.41009496257</v>
      </c>
      <c r="C173" s="7">
        <v>42476.869905037456</v>
      </c>
    </row>
    <row r="174" spans="1:3">
      <c r="A174" s="7">
        <v>144</v>
      </c>
      <c r="B174" s="7">
        <v>679651.97634324373</v>
      </c>
      <c r="C174" s="7">
        <v>15446.533656756277</v>
      </c>
    </row>
    <row r="175" spans="1:3">
      <c r="A175" s="7">
        <v>145</v>
      </c>
      <c r="B175" s="7">
        <v>616534.7121702258</v>
      </c>
      <c r="C175" s="7">
        <v>-38802.142170225852</v>
      </c>
    </row>
    <row r="176" spans="1:3">
      <c r="A176" s="7">
        <v>146</v>
      </c>
      <c r="B176" s="7">
        <v>567006.43275772873</v>
      </c>
      <c r="C176" s="7">
        <v>-29948.102757728775</v>
      </c>
    </row>
    <row r="177" spans="1:3">
      <c r="A177" s="7">
        <v>147</v>
      </c>
      <c r="B177" s="7">
        <v>606453.41472288768</v>
      </c>
      <c r="C177" s="7">
        <v>-4884.5447228876874</v>
      </c>
    </row>
    <row r="178" spans="1:3">
      <c r="A178" s="7">
        <v>148</v>
      </c>
      <c r="B178" s="7">
        <v>571529.35132875899</v>
      </c>
      <c r="C178" s="7">
        <v>-564.51132875902113</v>
      </c>
    </row>
    <row r="179" spans="1:3">
      <c r="A179" s="7">
        <v>149</v>
      </c>
      <c r="B179" s="7">
        <v>642271.9727014919</v>
      </c>
      <c r="C179" s="7">
        <v>-28247.062701491872</v>
      </c>
    </row>
    <row r="180" spans="1:3">
      <c r="A180" s="7">
        <v>150</v>
      </c>
      <c r="B180" s="7">
        <v>708673.89025760593</v>
      </c>
      <c r="C180" s="7">
        <v>4194.4597423940431</v>
      </c>
    </row>
    <row r="181" spans="1:3">
      <c r="A181" s="7">
        <v>151</v>
      </c>
      <c r="B181" s="7">
        <v>663203.05153988674</v>
      </c>
      <c r="C181" s="7">
        <v>33541.09846011328</v>
      </c>
    </row>
    <row r="182" spans="1:3">
      <c r="A182" s="7">
        <v>152</v>
      </c>
      <c r="B182" s="7">
        <v>707666.94065299048</v>
      </c>
      <c r="C182" s="7">
        <v>18181.04934700951</v>
      </c>
    </row>
    <row r="183" spans="1:3">
      <c r="A183" s="7">
        <v>153</v>
      </c>
      <c r="B183" s="7">
        <v>802650.72784958186</v>
      </c>
      <c r="C183" s="7">
        <v>-17622.477849581861</v>
      </c>
    </row>
    <row r="184" spans="1:3">
      <c r="A184" s="7">
        <v>154</v>
      </c>
      <c r="B184" s="7">
        <v>684902.39480379224</v>
      </c>
      <c r="C184" s="7">
        <v>13590.275196207804</v>
      </c>
    </row>
    <row r="185" spans="1:3">
      <c r="A185" s="7">
        <v>155</v>
      </c>
      <c r="B185" s="7">
        <v>725624.93320667197</v>
      </c>
      <c r="C185" s="7">
        <v>-39794.693206671975</v>
      </c>
    </row>
    <row r="186" spans="1:3">
      <c r="A186" s="7">
        <v>156</v>
      </c>
      <c r="B186" s="7">
        <v>702395.19861057168</v>
      </c>
      <c r="C186" s="7">
        <v>-76.258610571734607</v>
      </c>
    </row>
    <row r="187" spans="1:3">
      <c r="A187" s="7">
        <v>157</v>
      </c>
      <c r="B187" s="7">
        <v>701362.05669568328</v>
      </c>
      <c r="C187" s="7">
        <v>-1283.7366956833284</v>
      </c>
    </row>
    <row r="188" spans="1:3">
      <c r="A188" s="7">
        <v>158</v>
      </c>
      <c r="B188" s="7">
        <v>620910.19153415947</v>
      </c>
      <c r="C188" s="7">
        <v>-18907.871534159523</v>
      </c>
    </row>
    <row r="189" spans="1:3">
      <c r="A189" s="7">
        <v>159</v>
      </c>
      <c r="B189" s="7">
        <v>648105.21873078356</v>
      </c>
      <c r="C189" s="7">
        <v>76110.851269216393</v>
      </c>
    </row>
    <row r="190" spans="1:3">
      <c r="A190" s="7">
        <v>160</v>
      </c>
      <c r="B190" s="7">
        <v>553130.18842874782</v>
      </c>
      <c r="C190" s="7">
        <v>67842.841571252211</v>
      </c>
    </row>
    <row r="191" spans="1:3">
      <c r="A191" s="7">
        <v>161</v>
      </c>
      <c r="B191" s="7">
        <v>710334.06030652509</v>
      </c>
      <c r="C191" s="7">
        <v>-59854.000306525035</v>
      </c>
    </row>
    <row r="192" spans="1:3">
      <c r="A192" s="7">
        <v>162</v>
      </c>
      <c r="B192" s="7">
        <v>707830.34485518967</v>
      </c>
      <c r="C192" s="7">
        <v>70468.535144810332</v>
      </c>
    </row>
    <row r="193" spans="1:3">
      <c r="A193" s="7">
        <v>163</v>
      </c>
      <c r="B193" s="7">
        <v>700722.97454113455</v>
      </c>
      <c r="C193" s="7">
        <v>-23626.264541134587</v>
      </c>
    </row>
    <row r="194" spans="1:3">
      <c r="A194" s="7">
        <v>164</v>
      </c>
      <c r="B194" s="7">
        <v>707344.57821905625</v>
      </c>
      <c r="C194" s="7">
        <v>-15335.938219056232</v>
      </c>
    </row>
    <row r="195" spans="1:3">
      <c r="A195" s="7">
        <v>165</v>
      </c>
      <c r="B195" s="7">
        <v>779968.81763351941</v>
      </c>
      <c r="C195" s="7">
        <v>45829.092366480618</v>
      </c>
    </row>
    <row r="196" spans="1:3">
      <c r="A196" s="7">
        <v>166</v>
      </c>
      <c r="B196" s="7">
        <v>725642.32033055346</v>
      </c>
      <c r="C196" s="7">
        <v>-19356.800330553437</v>
      </c>
    </row>
    <row r="197" spans="1:3">
      <c r="A197" s="7">
        <v>167</v>
      </c>
      <c r="B197" s="7">
        <v>666662.02819216228</v>
      </c>
      <c r="C197" s="7">
        <v>-1127.3281921623275</v>
      </c>
    </row>
    <row r="198" spans="1:3">
      <c r="A198" s="7">
        <v>168</v>
      </c>
      <c r="B198" s="7">
        <v>807465.6628659874</v>
      </c>
      <c r="C198" s="7">
        <v>13263.62713401264</v>
      </c>
    </row>
    <row r="199" spans="1:3">
      <c r="A199" s="7">
        <v>169</v>
      </c>
      <c r="B199" s="7">
        <v>779694.79191739345</v>
      </c>
      <c r="C199" s="7">
        <v>-39863.061917393468</v>
      </c>
    </row>
    <row r="200" spans="1:3">
      <c r="A200" s="7">
        <v>170</v>
      </c>
      <c r="B200" s="7">
        <v>675899.22767697694</v>
      </c>
      <c r="C200" s="7">
        <v>-82262.087676976924</v>
      </c>
    </row>
    <row r="201" spans="1:3">
      <c r="A201" s="7">
        <v>171</v>
      </c>
      <c r="B201" s="7">
        <v>744814.13954713801</v>
      </c>
      <c r="C201" s="7">
        <v>24888.620452862</v>
      </c>
    </row>
    <row r="202" spans="1:3">
      <c r="A202" s="7">
        <v>172</v>
      </c>
      <c r="B202" s="7">
        <v>693456.55440489366</v>
      </c>
      <c r="C202" s="7">
        <v>-13724.984404893708</v>
      </c>
    </row>
    <row r="203" spans="1:3">
      <c r="A203" s="7">
        <v>173</v>
      </c>
      <c r="B203" s="7">
        <v>765312.29272915237</v>
      </c>
      <c r="C203" s="7">
        <v>15031.887270847685</v>
      </c>
    </row>
    <row r="204" spans="1:3">
      <c r="A204" s="7">
        <v>174</v>
      </c>
      <c r="B204" s="7">
        <v>746652.57766925497</v>
      </c>
      <c r="C204" s="7">
        <v>-25288.467669254984</v>
      </c>
    </row>
    <row r="205" spans="1:3">
      <c r="A205" s="7">
        <v>175</v>
      </c>
      <c r="B205" s="7">
        <v>778572.47278964764</v>
      </c>
      <c r="C205" s="7">
        <v>-20434.182789647602</v>
      </c>
    </row>
    <row r="206" spans="1:3">
      <c r="A206" s="7">
        <v>176</v>
      </c>
      <c r="B206" s="7">
        <v>815457.64504940726</v>
      </c>
      <c r="C206" s="7">
        <v>-11193.645049407263</v>
      </c>
    </row>
    <row r="207" spans="1:3">
      <c r="A207" s="7">
        <v>177</v>
      </c>
      <c r="B207" s="7">
        <v>861143.29198133119</v>
      </c>
      <c r="C207" s="7">
        <v>26394.458018668811</v>
      </c>
    </row>
    <row r="208" spans="1:3">
      <c r="A208" s="7">
        <v>178</v>
      </c>
      <c r="B208" s="7">
        <v>709186.22461674036</v>
      </c>
      <c r="C208" s="7">
        <v>74395.775383259635</v>
      </c>
    </row>
    <row r="209" spans="1:3">
      <c r="A209" s="7">
        <v>179</v>
      </c>
      <c r="B209" s="7">
        <v>743399.7998927969</v>
      </c>
      <c r="C209" s="7">
        <v>38555.720107203117</v>
      </c>
    </row>
    <row r="210" spans="1:3">
      <c r="A210" s="7">
        <v>180</v>
      </c>
      <c r="B210" s="7">
        <v>831729.05941458105</v>
      </c>
      <c r="C210" s="7">
        <v>66301.980585418991</v>
      </c>
    </row>
    <row r="211" spans="1:3">
      <c r="A211" s="7">
        <v>181</v>
      </c>
      <c r="B211" s="7">
        <v>860498.28613951465</v>
      </c>
      <c r="C211" s="7">
        <v>-5157.0061395146186</v>
      </c>
    </row>
    <row r="212" spans="1:3">
      <c r="A212" s="7">
        <v>182</v>
      </c>
      <c r="B212" s="7">
        <v>757061.77675677463</v>
      </c>
      <c r="C212" s="7">
        <v>-5667.8967567746295</v>
      </c>
    </row>
    <row r="213" spans="1:3">
      <c r="A213" s="7">
        <v>183</v>
      </c>
      <c r="B213" s="7">
        <v>770813.69070403115</v>
      </c>
      <c r="C213" s="7">
        <v>-9736.6107040311908</v>
      </c>
    </row>
    <row r="214" spans="1:3">
      <c r="A214" s="7">
        <v>184</v>
      </c>
      <c r="B214" s="7">
        <v>826923.2220077368</v>
      </c>
      <c r="C214" s="7">
        <v>-7262.6320077368291</v>
      </c>
    </row>
    <row r="215" spans="1:3">
      <c r="A215" s="7">
        <v>185</v>
      </c>
      <c r="B215" s="7">
        <v>701933.13072261005</v>
      </c>
      <c r="C215" s="7">
        <v>-20077.570722609991</v>
      </c>
    </row>
    <row r="216" spans="1:3">
      <c r="A216" s="7">
        <v>186</v>
      </c>
      <c r="B216" s="7">
        <v>661066.17142374837</v>
      </c>
      <c r="C216" s="7">
        <v>17244.998576251674</v>
      </c>
    </row>
    <row r="217" spans="1:3">
      <c r="A217" s="7">
        <v>187</v>
      </c>
      <c r="B217" s="7">
        <v>702054.7331055844</v>
      </c>
      <c r="C217" s="7">
        <v>63852.216894415556</v>
      </c>
    </row>
    <row r="218" spans="1:3">
      <c r="A218" s="7">
        <v>188</v>
      </c>
      <c r="B218" s="7">
        <v>709252.54608059418</v>
      </c>
      <c r="C218" s="7">
        <v>3293.8339194058208</v>
      </c>
    </row>
    <row r="219" spans="1:3">
      <c r="A219" s="7">
        <v>189</v>
      </c>
      <c r="B219" s="7">
        <v>580892.93647564307</v>
      </c>
      <c r="C219" s="7">
        <v>45100.893524356885</v>
      </c>
    </row>
    <row r="220" spans="1:3">
      <c r="A220" s="7">
        <v>190</v>
      </c>
      <c r="B220" s="7">
        <v>532067.95095189183</v>
      </c>
      <c r="C220" s="7">
        <v>18894.979048108216</v>
      </c>
    </row>
    <row r="221" spans="1:3">
      <c r="A221" s="7">
        <v>191</v>
      </c>
      <c r="B221" s="7">
        <v>454058.10409826704</v>
      </c>
      <c r="C221" s="7">
        <v>-10782.514098267013</v>
      </c>
    </row>
    <row r="222" spans="1:3">
      <c r="A222" s="7">
        <v>192</v>
      </c>
      <c r="B222" s="7">
        <v>601976.48999304906</v>
      </c>
      <c r="C222" s="7">
        <v>-47964.419993049116</v>
      </c>
    </row>
    <row r="223" spans="1:3">
      <c r="A223" s="7">
        <v>193</v>
      </c>
      <c r="B223" s="7">
        <v>695253.88824481517</v>
      </c>
      <c r="C223" s="7">
        <v>-51825.038244815194</v>
      </c>
    </row>
    <row r="224" spans="1:3">
      <c r="A224" s="7">
        <v>194</v>
      </c>
      <c r="B224" s="7">
        <v>625213.18937562453</v>
      </c>
      <c r="C224" s="7">
        <v>-13288.919375624508</v>
      </c>
    </row>
    <row r="225" spans="1:3">
      <c r="A225" s="7">
        <v>195</v>
      </c>
      <c r="B225" s="7">
        <v>565701.18078324152</v>
      </c>
      <c r="C225" s="7">
        <v>-6279.1607832415029</v>
      </c>
    </row>
    <row r="226" spans="1:3">
      <c r="A226" s="7">
        <v>196</v>
      </c>
      <c r="B226" s="7">
        <v>544164.39727967547</v>
      </c>
      <c r="C226" s="7">
        <v>-94699.33727967547</v>
      </c>
    </row>
    <row r="227" spans="1:3">
      <c r="A227" s="7">
        <v>197</v>
      </c>
      <c r="B227" s="7">
        <v>649908.36329858552</v>
      </c>
      <c r="C227" s="7">
        <v>41539.066701414529</v>
      </c>
    </row>
    <row r="228" spans="1:3">
      <c r="A228" s="7">
        <v>198</v>
      </c>
      <c r="B228" s="7">
        <v>615248.83992340008</v>
      </c>
      <c r="C228" s="7">
        <v>-41182.229923400097</v>
      </c>
    </row>
    <row r="229" spans="1:3">
      <c r="A229" s="7">
        <v>199</v>
      </c>
      <c r="B229" s="7">
        <v>621163.75216886366</v>
      </c>
      <c r="C229" s="7">
        <v>-42213.912168863695</v>
      </c>
    </row>
    <row r="230" spans="1:3">
      <c r="A230" s="7">
        <v>200</v>
      </c>
      <c r="B230" s="7">
        <v>665709.45358778711</v>
      </c>
      <c r="C230" s="7">
        <v>70077.186412212905</v>
      </c>
    </row>
    <row r="231" spans="1:3">
      <c r="A231" s="7">
        <v>201</v>
      </c>
      <c r="B231" s="7">
        <v>604005.8080611882</v>
      </c>
      <c r="C231" s="7">
        <v>-5100.90806118818</v>
      </c>
    </row>
    <row r="232" spans="1:3">
      <c r="A232" s="7">
        <v>202</v>
      </c>
      <c r="B232" s="7">
        <v>687205.39519402676</v>
      </c>
      <c r="C232" s="7">
        <v>100510.11480597325</v>
      </c>
    </row>
    <row r="233" spans="1:3">
      <c r="A233" s="7">
        <v>203</v>
      </c>
      <c r="B233" s="7">
        <v>646110.99051061727</v>
      </c>
      <c r="C233" s="7">
        <v>-39026.070510617224</v>
      </c>
    </row>
    <row r="234" spans="1:3">
      <c r="A234" s="7">
        <v>204</v>
      </c>
      <c r="B234" s="7">
        <v>662625.54912912636</v>
      </c>
      <c r="C234" s="7">
        <v>-11830.05912912637</v>
      </c>
    </row>
    <row r="235" spans="1:3">
      <c r="A235" s="7">
        <v>205</v>
      </c>
      <c r="B235" s="7">
        <v>826732.61600051331</v>
      </c>
      <c r="C235" s="7">
        <v>-1672.0960005132947</v>
      </c>
    </row>
    <row r="236" spans="1:3">
      <c r="A236" s="7">
        <v>206</v>
      </c>
      <c r="B236" s="7">
        <v>726306.70757739176</v>
      </c>
      <c r="C236" s="7">
        <v>69157.762422608212</v>
      </c>
    </row>
    <row r="237" spans="1:3">
      <c r="A237" s="7">
        <v>207</v>
      </c>
      <c r="B237" s="7">
        <v>723066.80051715311</v>
      </c>
      <c r="C237" s="7">
        <v>-51198.210517153144</v>
      </c>
    </row>
    <row r="238" spans="1:3">
      <c r="A238" s="7">
        <v>208</v>
      </c>
      <c r="B238" s="7">
        <v>741949.18005716708</v>
      </c>
      <c r="C238" s="7">
        <v>-66031.550057167071</v>
      </c>
    </row>
    <row r="239" spans="1:3">
      <c r="A239" s="7">
        <v>209</v>
      </c>
      <c r="B239" s="7">
        <v>793283.31951363443</v>
      </c>
      <c r="C239" s="7">
        <v>17163.210486365599</v>
      </c>
    </row>
    <row r="240" spans="1:3">
      <c r="A240" s="7">
        <v>210</v>
      </c>
      <c r="B240" s="7">
        <v>759500.79872888979</v>
      </c>
      <c r="C240" s="7">
        <v>-68212.608728889842</v>
      </c>
    </row>
    <row r="241" spans="1:3">
      <c r="A241" s="7">
        <v>211</v>
      </c>
      <c r="B241" s="7">
        <v>953663.86334420042</v>
      </c>
      <c r="C241" s="7">
        <v>-6830.3233442003839</v>
      </c>
    </row>
    <row r="242" spans="1:3">
      <c r="A242" s="7">
        <v>212</v>
      </c>
      <c r="B242" s="7">
        <v>768153.03681293258</v>
      </c>
      <c r="C242" s="7">
        <v>-6189.8068129325984</v>
      </c>
    </row>
    <row r="243" spans="1:3">
      <c r="A243" s="7">
        <v>213</v>
      </c>
      <c r="B243" s="7">
        <v>788598.8397140404</v>
      </c>
      <c r="C243" s="7">
        <v>23553.760285959579</v>
      </c>
    </row>
    <row r="244" spans="1:3">
      <c r="A244" s="7">
        <v>214</v>
      </c>
      <c r="B244" s="7">
        <v>777177.1341618381</v>
      </c>
      <c r="C244" s="7">
        <v>27798.365838161903</v>
      </c>
    </row>
    <row r="245" spans="1:3">
      <c r="A245" s="7">
        <v>215</v>
      </c>
      <c r="B245" s="7">
        <v>774109.38249529875</v>
      </c>
      <c r="C245" s="7">
        <v>-21787.662495298777</v>
      </c>
    </row>
    <row r="246" spans="1:3">
      <c r="A246" s="7">
        <v>216</v>
      </c>
      <c r="B246" s="7">
        <v>845723.42335479334</v>
      </c>
      <c r="C246" s="7">
        <v>-8815.1833547933493</v>
      </c>
    </row>
    <row r="247" spans="1:3">
      <c r="A247" s="7">
        <v>217</v>
      </c>
      <c r="B247" s="7">
        <v>631768.38434998109</v>
      </c>
      <c r="C247" s="7">
        <v>42520.715650018887</v>
      </c>
    </row>
    <row r="248" spans="1:3">
      <c r="A248" s="7">
        <v>218</v>
      </c>
      <c r="B248" s="7">
        <v>616111.5777289198</v>
      </c>
      <c r="C248" s="7">
        <v>6780.8422710802406</v>
      </c>
    </row>
    <row r="249" spans="1:3">
      <c r="A249" s="7">
        <v>219</v>
      </c>
      <c r="B249" s="7">
        <v>614726.17875360674</v>
      </c>
      <c r="C249" s="7">
        <v>58622.381246393314</v>
      </c>
    </row>
    <row r="250" spans="1:3">
      <c r="A250" s="7">
        <v>220</v>
      </c>
      <c r="B250" s="7">
        <v>588226.6017823501</v>
      </c>
      <c r="C250" s="7">
        <v>18051.698217649944</v>
      </c>
    </row>
    <row r="251" spans="1:3">
      <c r="A251" s="7">
        <v>221</v>
      </c>
      <c r="B251" s="7">
        <v>696343.69438641681</v>
      </c>
      <c r="C251" s="7">
        <v>15876.115613583243</v>
      </c>
    </row>
    <row r="252" spans="1:3">
      <c r="A252" s="7">
        <v>222</v>
      </c>
      <c r="B252" s="7">
        <v>663115.28327492753</v>
      </c>
      <c r="C252" s="7">
        <v>9555.2567250725115</v>
      </c>
    </row>
    <row r="253" spans="1:3">
      <c r="A253" s="7">
        <v>223</v>
      </c>
      <c r="B253" s="7">
        <v>726577.83699786454</v>
      </c>
      <c r="C253" s="7">
        <v>6090.0830021355068</v>
      </c>
    </row>
    <row r="254" spans="1:3">
      <c r="A254" s="7">
        <v>224</v>
      </c>
      <c r="B254" s="7">
        <v>750845.04460880416</v>
      </c>
      <c r="C254" s="7">
        <v>-27313.644608804141</v>
      </c>
    </row>
    <row r="255" spans="1:3">
      <c r="A255" s="7">
        <v>225</v>
      </c>
      <c r="B255" s="7">
        <v>594601.76308567752</v>
      </c>
      <c r="C255" s="7">
        <v>46962.836914322455</v>
      </c>
    </row>
    <row r="256" spans="1:3">
      <c r="A256" s="7">
        <v>226</v>
      </c>
      <c r="B256" s="7">
        <v>513298.88410255319</v>
      </c>
      <c r="C256" s="7">
        <v>23246.605897446803</v>
      </c>
    </row>
    <row r="257" spans="1:3">
      <c r="A257" s="7">
        <v>227</v>
      </c>
      <c r="B257" s="7">
        <v>540686.46870834555</v>
      </c>
      <c r="C257" s="7">
        <v>-13004.908708345494</v>
      </c>
    </row>
    <row r="258" spans="1:3">
      <c r="A258" s="7">
        <v>228</v>
      </c>
      <c r="B258" s="7">
        <v>492240.3685876808</v>
      </c>
      <c r="C258" s="7">
        <v>37358.571412319143</v>
      </c>
    </row>
    <row r="259" spans="1:3">
      <c r="A259" s="7">
        <v>229</v>
      </c>
      <c r="B259" s="7">
        <v>618148.08686001413</v>
      </c>
      <c r="C259" s="7">
        <v>-47184.77686001407</v>
      </c>
    </row>
    <row r="260" spans="1:3">
      <c r="A260" s="7">
        <v>230</v>
      </c>
      <c r="B260" s="7">
        <v>815205.22996421566</v>
      </c>
      <c r="C260" s="7">
        <v>55732.170035784366</v>
      </c>
    </row>
    <row r="261" spans="1:3">
      <c r="A261" s="7">
        <v>231</v>
      </c>
      <c r="B261" s="7">
        <v>629920.26869161811</v>
      </c>
      <c r="C261" s="7">
        <v>-32950.998691618093</v>
      </c>
    </row>
    <row r="262" spans="1:3">
      <c r="A262" s="7">
        <v>232</v>
      </c>
      <c r="B262" s="7">
        <v>613636.78985246061</v>
      </c>
      <c r="C262" s="7">
        <v>33876.060147539363</v>
      </c>
    </row>
    <row r="263" spans="1:3">
      <c r="A263" s="7">
        <v>233</v>
      </c>
      <c r="B263" s="7">
        <v>622271.16085497278</v>
      </c>
      <c r="C263" s="7">
        <v>35800.979145027231</v>
      </c>
    </row>
    <row r="264" spans="1:3">
      <c r="A264" s="7">
        <v>234</v>
      </c>
      <c r="B264" s="7">
        <v>654576.01519337192</v>
      </c>
      <c r="C264" s="7">
        <v>68729.094806628069</v>
      </c>
    </row>
    <row r="265" spans="1:3">
      <c r="A265" s="7">
        <v>235</v>
      </c>
      <c r="B265" s="7">
        <v>643522.27444290672</v>
      </c>
      <c r="C265" s="7">
        <v>-2855.7444429066963</v>
      </c>
    </row>
    <row r="266" spans="1:3">
      <c r="A266" s="7">
        <v>236</v>
      </c>
      <c r="B266" s="7">
        <v>676684.74266983045</v>
      </c>
      <c r="C266" s="7">
        <v>-6055.2626698304666</v>
      </c>
    </row>
    <row r="267" spans="1:3">
      <c r="A267" s="7">
        <v>237</v>
      </c>
      <c r="B267" s="7">
        <v>789484.16149426112</v>
      </c>
      <c r="C267" s="7">
        <v>-68404.811494261143</v>
      </c>
    </row>
    <row r="268" spans="1:3">
      <c r="A268" s="7">
        <v>238</v>
      </c>
      <c r="B268" s="7">
        <v>820101.85826737818</v>
      </c>
      <c r="C268" s="7">
        <v>-9746.8382673781598</v>
      </c>
    </row>
    <row r="269" spans="1:3">
      <c r="A269" s="7">
        <v>239</v>
      </c>
      <c r="B269" s="7">
        <v>767499.40771956288</v>
      </c>
      <c r="C269" s="7">
        <v>-5580.1577195628779</v>
      </c>
    </row>
    <row r="270" spans="1:3">
      <c r="A270" s="7">
        <v>240</v>
      </c>
      <c r="B270" s="7">
        <v>724053.01502805809</v>
      </c>
      <c r="C270" s="7">
        <v>13017.164971941966</v>
      </c>
    </row>
    <row r="271" spans="1:3">
      <c r="A271" s="7">
        <v>241</v>
      </c>
      <c r="B271" s="7">
        <v>739735.19923612988</v>
      </c>
      <c r="C271" s="7">
        <v>37257.730763870175</v>
      </c>
    </row>
    <row r="272" spans="1:3">
      <c r="A272" s="7">
        <v>242</v>
      </c>
      <c r="B272" s="7">
        <v>644743.75345431163</v>
      </c>
      <c r="C272" s="7">
        <v>31593.656545688398</v>
      </c>
    </row>
    <row r="273" spans="1:3">
      <c r="A273" s="7">
        <v>243</v>
      </c>
      <c r="B273" s="7">
        <v>813852.38809970999</v>
      </c>
      <c r="C273" s="7">
        <v>14367.281900290051</v>
      </c>
    </row>
    <row r="274" spans="1:3">
      <c r="A274" s="7">
        <v>244</v>
      </c>
      <c r="B274" s="7">
        <v>747163.50927681779</v>
      </c>
      <c r="C274" s="7">
        <v>15996.410723182256</v>
      </c>
    </row>
    <row r="275" spans="1:3">
      <c r="A275" s="7">
        <v>245</v>
      </c>
      <c r="B275" s="7">
        <v>775018.77643970295</v>
      </c>
      <c r="C275" s="7">
        <v>26982.903560297098</v>
      </c>
    </row>
    <row r="276" spans="1:3">
      <c r="A276" s="7">
        <v>246</v>
      </c>
      <c r="B276" s="7">
        <v>732504.74037658225</v>
      </c>
      <c r="C276" s="7">
        <v>17966.599623417715</v>
      </c>
    </row>
    <row r="277" spans="1:3">
      <c r="A277" s="7">
        <v>247</v>
      </c>
      <c r="B277" s="7">
        <v>699691.97063529026</v>
      </c>
      <c r="C277" s="7">
        <v>-20461.110635290272</v>
      </c>
    </row>
    <row r="278" spans="1:3">
      <c r="A278" s="7">
        <v>248</v>
      </c>
      <c r="B278" s="7">
        <v>680076.92998364242</v>
      </c>
      <c r="C278" s="7">
        <v>-188.18998364242725</v>
      </c>
    </row>
    <row r="279" spans="1:3">
      <c r="A279" s="7">
        <v>249</v>
      </c>
      <c r="B279" s="7">
        <v>589830.27470279974</v>
      </c>
      <c r="C279" s="7">
        <v>16953.395297200303</v>
      </c>
    </row>
    <row r="280" spans="1:3">
      <c r="A280" s="7">
        <v>250</v>
      </c>
      <c r="B280" s="7">
        <v>649043.90042781644</v>
      </c>
      <c r="C280" s="7">
        <v>-6292.4804278163938</v>
      </c>
    </row>
    <row r="281" spans="1:3">
      <c r="A281" s="7">
        <v>251</v>
      </c>
      <c r="B281" s="7">
        <v>649900.1838311092</v>
      </c>
      <c r="C281" s="7">
        <v>-1946.4038311091717</v>
      </c>
    </row>
    <row r="282" spans="1:3">
      <c r="A282" s="7">
        <v>252</v>
      </c>
      <c r="B282" s="7">
        <v>712030.87318852218</v>
      </c>
      <c r="C282" s="7">
        <v>17409.576811477775</v>
      </c>
    </row>
    <row r="283" spans="1:3">
      <c r="A283" s="7">
        <v>253</v>
      </c>
      <c r="B283" s="7">
        <v>758354.75470308797</v>
      </c>
      <c r="C283" s="7">
        <v>6594.245296912035</v>
      </c>
    </row>
    <row r="284" spans="1:3">
      <c r="A284" s="7">
        <v>254</v>
      </c>
      <c r="B284" s="7">
        <v>705981.93754552351</v>
      </c>
      <c r="C284" s="7">
        <v>93065.002454476431</v>
      </c>
    </row>
    <row r="285" spans="1:3">
      <c r="A285" s="7">
        <v>255</v>
      </c>
      <c r="B285" s="7">
        <v>678739.51915900956</v>
      </c>
      <c r="C285" s="7">
        <v>41340.020840990474</v>
      </c>
    </row>
    <row r="286" spans="1:3">
      <c r="A286" s="7">
        <v>256</v>
      </c>
      <c r="B286" s="7">
        <v>643365.50906450592</v>
      </c>
      <c r="C286" s="7">
        <v>-30975.369064505911</v>
      </c>
    </row>
    <row r="287" spans="1:3">
      <c r="A287" s="7">
        <v>257</v>
      </c>
      <c r="B287" s="7">
        <v>759807.56392458524</v>
      </c>
      <c r="C287" s="7">
        <v>80300.556075414759</v>
      </c>
    </row>
    <row r="288" spans="1:3">
      <c r="A288" s="7">
        <v>258</v>
      </c>
      <c r="B288" s="7">
        <v>684318.20665485703</v>
      </c>
      <c r="C288" s="7">
        <v>13569.883345142938</v>
      </c>
    </row>
    <row r="289" spans="1:3">
      <c r="A289" s="7">
        <v>259</v>
      </c>
      <c r="B289" s="7">
        <v>750639.03853856353</v>
      </c>
      <c r="C289" s="7">
        <v>-4523.4485385635635</v>
      </c>
    </row>
    <row r="290" spans="1:3">
      <c r="A290" s="7">
        <v>260</v>
      </c>
      <c r="B290" s="7">
        <v>721240.68950574321</v>
      </c>
      <c r="C290" s="7">
        <v>54869.630494256737</v>
      </c>
    </row>
    <row r="291" spans="1:3">
      <c r="A291" s="7">
        <v>261</v>
      </c>
      <c r="B291" s="7">
        <v>526019.38464804471</v>
      </c>
      <c r="C291" s="7">
        <v>2833.2353519552853</v>
      </c>
    </row>
    <row r="292" spans="1:3">
      <c r="A292" s="7">
        <v>262</v>
      </c>
      <c r="B292" s="7">
        <v>610948.01030034642</v>
      </c>
      <c r="C292" s="7">
        <v>-5196.6803003464593</v>
      </c>
    </row>
    <row r="293" spans="1:3">
      <c r="A293" s="7">
        <v>263</v>
      </c>
      <c r="B293" s="7">
        <v>614413.60050848336</v>
      </c>
      <c r="C293" s="7">
        <v>63227.049491516664</v>
      </c>
    </row>
    <row r="294" spans="1:3">
      <c r="A294" s="7">
        <v>264</v>
      </c>
      <c r="B294" s="7">
        <v>616817.05767692404</v>
      </c>
      <c r="C294" s="7">
        <v>19796.172323075938</v>
      </c>
    </row>
    <row r="295" spans="1:3">
      <c r="A295" s="7">
        <v>265</v>
      </c>
      <c r="B295" s="7">
        <v>715897.06509461114</v>
      </c>
      <c r="C295" s="7">
        <v>-6911.8750946111977</v>
      </c>
    </row>
    <row r="296" spans="1:3">
      <c r="A296" s="7">
        <v>266</v>
      </c>
      <c r="B296" s="7">
        <v>732275.3584115128</v>
      </c>
      <c r="C296" s="7">
        <v>35517.581588487141</v>
      </c>
    </row>
    <row r="297" spans="1:3">
      <c r="A297" s="7">
        <v>267</v>
      </c>
      <c r="B297" s="7">
        <v>715523.8461930966</v>
      </c>
      <c r="C297" s="7">
        <v>30056.663806903409</v>
      </c>
    </row>
    <row r="298" spans="1:3">
      <c r="A298" s="7">
        <v>268</v>
      </c>
      <c r="B298" s="7">
        <v>715179.83072994882</v>
      </c>
      <c r="C298" s="7">
        <v>47148.479270051233</v>
      </c>
    </row>
    <row r="299" spans="1:3">
      <c r="A299" s="7">
        <v>269</v>
      </c>
      <c r="B299" s="7">
        <v>726849.92728179588</v>
      </c>
      <c r="C299" s="7">
        <v>-66215.937281795894</v>
      </c>
    </row>
    <row r="300" spans="1:3">
      <c r="A300" s="7">
        <v>270</v>
      </c>
      <c r="B300" s="7">
        <v>677684.03323838289</v>
      </c>
      <c r="C300" s="7">
        <v>61690.526761617162</v>
      </c>
    </row>
    <row r="301" spans="1:3">
      <c r="A301" s="7">
        <v>271</v>
      </c>
      <c r="B301" s="7">
        <v>796645.14061215066</v>
      </c>
      <c r="C301" s="7">
        <v>3111.3193878493039</v>
      </c>
    </row>
    <row r="302" spans="1:3">
      <c r="A302" s="7">
        <v>272</v>
      </c>
      <c r="B302" s="7">
        <v>653359.0713275884</v>
      </c>
      <c r="C302" s="7">
        <v>-60016.071327588405</v>
      </c>
    </row>
    <row r="303" spans="1:3">
      <c r="A303" s="7">
        <v>273</v>
      </c>
      <c r="B303" s="7">
        <v>635545.80077383283</v>
      </c>
      <c r="C303" s="7">
        <v>9494.1692261671415</v>
      </c>
    </row>
    <row r="304" spans="1:3">
      <c r="A304" s="7">
        <v>274</v>
      </c>
      <c r="B304" s="7">
        <v>520593.30746122828</v>
      </c>
      <c r="C304" s="7">
        <v>41004.022538771678</v>
      </c>
    </row>
    <row r="305" spans="1:3">
      <c r="A305" s="7">
        <v>275</v>
      </c>
      <c r="B305" s="7">
        <v>644633.93700869835</v>
      </c>
      <c r="C305" s="7">
        <v>-8796.1970086983638</v>
      </c>
    </row>
    <row r="306" spans="1:3">
      <c r="A306" s="7">
        <v>276</v>
      </c>
      <c r="B306" s="7">
        <v>601339.28009841184</v>
      </c>
      <c r="C306" s="7">
        <v>85398.589901588159</v>
      </c>
    </row>
    <row r="307" spans="1:3">
      <c r="A307" s="7">
        <v>277</v>
      </c>
      <c r="B307" s="7">
        <v>758023.26876273518</v>
      </c>
      <c r="C307" s="7">
        <v>-84946.928762735217</v>
      </c>
    </row>
    <row r="308" spans="1:3">
      <c r="A308" s="7">
        <v>278</v>
      </c>
      <c r="B308" s="7">
        <v>719303.0194152107</v>
      </c>
      <c r="C308" s="7">
        <v>19245.400584789342</v>
      </c>
    </row>
    <row r="309" spans="1:3">
      <c r="A309" s="7">
        <v>279</v>
      </c>
      <c r="B309" s="7">
        <v>770963.55587352382</v>
      </c>
      <c r="C309" s="7">
        <v>-14343.785873523797</v>
      </c>
    </row>
    <row r="310" spans="1:3">
      <c r="A310" s="7">
        <v>280</v>
      </c>
      <c r="B310" s="7">
        <v>788942.13483156194</v>
      </c>
      <c r="C310" s="7">
        <v>-27819.714831561898</v>
      </c>
    </row>
    <row r="311" spans="1:3">
      <c r="A311" s="7">
        <v>281</v>
      </c>
      <c r="B311" s="7">
        <v>576354.47092367883</v>
      </c>
      <c r="C311" s="7">
        <v>-51454.900923678884</v>
      </c>
    </row>
    <row r="312" spans="1:3">
      <c r="A312" s="7">
        <v>282</v>
      </c>
      <c r="B312" s="7">
        <v>590608.42030218232</v>
      </c>
      <c r="C312" s="7">
        <v>-35050.650302182301</v>
      </c>
    </row>
    <row r="313" spans="1:3">
      <c r="A313" s="7">
        <v>283</v>
      </c>
      <c r="B313" s="7">
        <v>698330.44953816768</v>
      </c>
      <c r="C313" s="7">
        <v>15753.230461832369</v>
      </c>
    </row>
    <row r="314" spans="1:3">
      <c r="A314" s="7">
        <v>284</v>
      </c>
      <c r="B314" s="7">
        <v>508042.94474374095</v>
      </c>
      <c r="C314" s="7">
        <v>-10603.124743740947</v>
      </c>
    </row>
    <row r="315" spans="1:3">
      <c r="A315" s="7">
        <v>285</v>
      </c>
      <c r="B315" s="7">
        <v>658181.42502951319</v>
      </c>
      <c r="C315" s="7">
        <v>-21405.765029513161</v>
      </c>
    </row>
    <row r="316" spans="1:3">
      <c r="A316" s="7">
        <v>286</v>
      </c>
      <c r="B316" s="7">
        <v>650747.6738095507</v>
      </c>
      <c r="C316" s="7">
        <v>-17738.143809550675</v>
      </c>
    </row>
    <row r="317" spans="1:3">
      <c r="A317" s="7">
        <v>287</v>
      </c>
      <c r="B317" s="7">
        <v>617943.0028252739</v>
      </c>
      <c r="C317" s="7">
        <v>-7994.0028252738994</v>
      </c>
    </row>
    <row r="318" spans="1:3">
      <c r="A318" s="7">
        <v>288</v>
      </c>
      <c r="B318" s="7">
        <v>577212.14743926586</v>
      </c>
      <c r="C318" s="7">
        <v>-29108.447439265903</v>
      </c>
    </row>
    <row r="319" spans="1:3">
      <c r="A319" s="7">
        <v>289</v>
      </c>
      <c r="B319" s="7">
        <v>704690.16753596719</v>
      </c>
      <c r="C319" s="7">
        <v>24734.252464032848</v>
      </c>
    </row>
    <row r="320" spans="1:3">
      <c r="A320" s="7">
        <v>290</v>
      </c>
      <c r="B320" s="7">
        <v>729727.41646937747</v>
      </c>
      <c r="C320" s="7">
        <v>-33465.926469377475</v>
      </c>
    </row>
    <row r="321" spans="1:3">
      <c r="A321" s="7">
        <v>291</v>
      </c>
      <c r="B321" s="7">
        <v>718873.94013689039</v>
      </c>
      <c r="C321" s="7">
        <v>94442.76986310957</v>
      </c>
    </row>
    <row r="322" spans="1:3">
      <c r="A322" s="7">
        <v>292</v>
      </c>
      <c r="B322" s="7">
        <v>711941.09643531812</v>
      </c>
      <c r="C322" s="7">
        <v>-9872.176435318077</v>
      </c>
    </row>
    <row r="323" spans="1:3">
      <c r="A323" s="7">
        <v>293</v>
      </c>
      <c r="B323" s="7">
        <v>590767.28891189187</v>
      </c>
      <c r="C323" s="7">
        <v>-44543.588911891915</v>
      </c>
    </row>
    <row r="324" spans="1:3">
      <c r="A324" s="7">
        <v>294</v>
      </c>
      <c r="B324" s="7">
        <v>528747.83827829303</v>
      </c>
      <c r="C324" s="7">
        <v>4373.4217217069818</v>
      </c>
    </row>
    <row r="325" spans="1:3">
      <c r="A325" s="7">
        <v>295</v>
      </c>
      <c r="B325" s="7">
        <v>508456.06934663642</v>
      </c>
      <c r="C325" s="7">
        <v>-9485.7493466364103</v>
      </c>
    </row>
    <row r="326" spans="1:3">
      <c r="A326" s="7">
        <v>296</v>
      </c>
      <c r="B326" s="7">
        <v>474102.96112282539</v>
      </c>
      <c r="C326" s="7">
        <v>13635.298877174617</v>
      </c>
    </row>
    <row r="327" spans="1:3">
      <c r="A327" s="7">
        <v>297</v>
      </c>
      <c r="B327" s="7">
        <v>670326.64016075945</v>
      </c>
      <c r="C327" s="7">
        <v>-1867.2701607594499</v>
      </c>
    </row>
    <row r="328" spans="1:3">
      <c r="A328" s="7">
        <v>298</v>
      </c>
      <c r="B328" s="7">
        <v>679367.72173529468</v>
      </c>
      <c r="C328" s="7">
        <v>83794.728264705278</v>
      </c>
    </row>
    <row r="329" spans="1:3">
      <c r="A329" s="7">
        <v>299</v>
      </c>
      <c r="B329" s="7">
        <v>618814.56739810167</v>
      </c>
      <c r="C329" s="7">
        <v>-19797.237398101715</v>
      </c>
    </row>
    <row r="330" spans="1:3">
      <c r="A330" s="7">
        <v>300</v>
      </c>
      <c r="B330" s="7">
        <v>469998.73562446894</v>
      </c>
      <c r="C330" s="7">
        <v>-68416.155624468927</v>
      </c>
    </row>
    <row r="331" spans="1:3">
      <c r="A331" s="7">
        <v>301</v>
      </c>
      <c r="B331" s="7">
        <v>718771.3942760058</v>
      </c>
      <c r="C331" s="7">
        <v>-14958.404276005807</v>
      </c>
    </row>
    <row r="332" spans="1:3">
      <c r="A332" s="7">
        <v>302</v>
      </c>
      <c r="B332" s="7">
        <v>719309.37289243052</v>
      </c>
      <c r="C332" s="7">
        <v>5037.3571075694636</v>
      </c>
    </row>
    <row r="333" spans="1:3">
      <c r="A333" s="7">
        <v>303</v>
      </c>
      <c r="B333" s="7">
        <v>738044.96965268266</v>
      </c>
      <c r="C333" s="7">
        <v>-7154.9596526826499</v>
      </c>
    </row>
    <row r="334" spans="1:3">
      <c r="A334" s="7">
        <v>304</v>
      </c>
      <c r="B334" s="7">
        <v>720993.08731361968</v>
      </c>
      <c r="C334" s="7">
        <v>59587.862686380278</v>
      </c>
    </row>
    <row r="335" spans="1:3">
      <c r="A335" s="7">
        <v>305</v>
      </c>
      <c r="B335" s="7">
        <v>707976.14891193062</v>
      </c>
      <c r="C335" s="7">
        <v>19981.331088069361</v>
      </c>
    </row>
    <row r="336" spans="1:3">
      <c r="A336" s="7">
        <v>306</v>
      </c>
      <c r="B336" s="7">
        <v>648421.42074864078</v>
      </c>
      <c r="C336" s="7">
        <v>-110045.42074864078</v>
      </c>
    </row>
    <row r="337" spans="1:3">
      <c r="A337" s="7">
        <v>307</v>
      </c>
      <c r="B337" s="7">
        <v>632745.08495773154</v>
      </c>
      <c r="C337" s="7">
        <v>32597.405042268452</v>
      </c>
    </row>
    <row r="338" spans="1:3">
      <c r="A338" s="7">
        <v>308</v>
      </c>
      <c r="B338" s="7">
        <v>717724.75396659831</v>
      </c>
      <c r="C338" s="7">
        <v>-66560.573966598255</v>
      </c>
    </row>
    <row r="339" spans="1:3">
      <c r="A339" s="7">
        <v>309</v>
      </c>
      <c r="B339" s="7">
        <v>653634.26545913983</v>
      </c>
      <c r="C339" s="7">
        <v>-25095.965459139785</v>
      </c>
    </row>
    <row r="340" spans="1:3">
      <c r="A340" s="7">
        <v>310</v>
      </c>
      <c r="B340" s="7">
        <v>588561.76969238021</v>
      </c>
      <c r="C340" s="7">
        <v>-52036.929692380247</v>
      </c>
    </row>
    <row r="341" spans="1:3">
      <c r="A341" s="7">
        <v>311</v>
      </c>
      <c r="B341" s="7">
        <v>646656.85723879852</v>
      </c>
      <c r="C341" s="7">
        <v>-24979.557238798472</v>
      </c>
    </row>
    <row r="342" spans="1:3">
      <c r="A342" s="7">
        <v>312</v>
      </c>
      <c r="B342" s="7">
        <v>760472.44997396565</v>
      </c>
      <c r="C342" s="7">
        <v>10656.620026034303</v>
      </c>
    </row>
    <row r="343" spans="1:3">
      <c r="A343" s="7">
        <v>313</v>
      </c>
      <c r="B343" s="7">
        <v>678321.42703418271</v>
      </c>
      <c r="C343" s="7">
        <v>23731.042965817265</v>
      </c>
    </row>
    <row r="344" spans="1:3">
      <c r="A344" s="7">
        <v>314</v>
      </c>
      <c r="B344" s="7">
        <v>733482.63982442522</v>
      </c>
      <c r="C344" s="7">
        <v>-45114.179824425257</v>
      </c>
    </row>
    <row r="345" spans="1:3">
      <c r="A345" s="7">
        <v>315</v>
      </c>
      <c r="B345" s="7">
        <v>695173.18449194694</v>
      </c>
      <c r="C345" s="7">
        <v>17202.585508053075</v>
      </c>
    </row>
    <row r="346" spans="1:3">
      <c r="A346" s="7">
        <v>316</v>
      </c>
      <c r="B346" s="7">
        <v>827964.23389435094</v>
      </c>
      <c r="C346" s="7">
        <v>16746.436105649103</v>
      </c>
    </row>
    <row r="347" spans="1:3">
      <c r="A347" s="7">
        <v>317</v>
      </c>
      <c r="B347" s="7">
        <v>677015.73388236226</v>
      </c>
      <c r="C347" s="7">
        <v>-56751.533882362302</v>
      </c>
    </row>
    <row r="348" spans="1:3">
      <c r="A348" s="7">
        <v>318</v>
      </c>
      <c r="B348" s="7">
        <v>523640.24272008176</v>
      </c>
      <c r="C348" s="7">
        <v>13205.17727991828</v>
      </c>
    </row>
    <row r="349" spans="1:3">
      <c r="A349" s="7">
        <v>319</v>
      </c>
      <c r="B349" s="7">
        <v>735955.7653243182</v>
      </c>
      <c r="C349" s="7">
        <v>-9179.5453243182274</v>
      </c>
    </row>
    <row r="350" spans="1:3" ht="15" thickBot="1">
      <c r="A350" s="8">
        <v>320</v>
      </c>
      <c r="B350" s="8">
        <v>598992.9518393809</v>
      </c>
      <c r="C350" s="8">
        <v>-39332.11183938093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Original_Data</vt:lpstr>
      <vt:lpstr>Cleaned_Data</vt:lpstr>
      <vt:lpstr>Regression_Data</vt:lpstr>
      <vt:lpstr>Dummy_Variables</vt:lpstr>
      <vt:lpstr>Simple_Regression_1</vt:lpstr>
      <vt:lpstr>Simple_Regression_2</vt:lpstr>
      <vt:lpstr>Multiple_Regression</vt:lpstr>
      <vt:lpstr>Prediction_Residuals</vt:lpstr>
      <vt:lpstr>Model_Comparison</vt:lpstr>
      <vt:lpstr>Sheet1</vt:lpstr>
      <vt:lpstr>Sheet2</vt:lpstr>
      <vt:lpstr>Sheet4</vt:lpstr>
      <vt:lpstr>Sheet5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Amardas</cp:lastModifiedBy>
  <dcterms:created xsi:type="dcterms:W3CDTF">2026-06-27T16:59:57Z</dcterms:created>
  <dcterms:modified xsi:type="dcterms:W3CDTF">2026-06-28T10:33:06Z</dcterms:modified>
</cp:coreProperties>
</file>